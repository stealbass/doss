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amah\Downloads\"/>
    </mc:Choice>
  </mc:AlternateContent>
  <xr:revisionPtr revIDLastSave="0" documentId="8_{9431D7E9-CA31-4D4A-A4CD-8865C62D04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puts" sheetId="1" r:id="rId1"/>
    <sheet name="Totals" sheetId="2" r:id="rId2"/>
    <sheet name="Plans" sheetId="3" r:id="rId3"/>
    <sheet name="Projections" sheetId="4" r:id="rId4"/>
    <sheet name="Chart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" i="4" l="1"/>
  <c r="B8" i="2"/>
  <c r="B33" i="1"/>
  <c r="W13" i="4"/>
  <c r="W12" i="4"/>
  <c r="W11" i="4"/>
  <c r="W10" i="4"/>
  <c r="W9" i="4"/>
  <c r="W8" i="4"/>
  <c r="W7" i="4"/>
  <c r="W6" i="4"/>
  <c r="W5" i="4"/>
  <c r="W4" i="4"/>
  <c r="W3" i="4"/>
  <c r="U13" i="4"/>
  <c r="T13" i="4"/>
  <c r="S13" i="4"/>
  <c r="U12" i="4"/>
  <c r="V12" i="4" s="1"/>
  <c r="T12" i="4"/>
  <c r="S12" i="4"/>
  <c r="U11" i="4"/>
  <c r="T11" i="4"/>
  <c r="S11" i="4"/>
  <c r="U10" i="4"/>
  <c r="T10" i="4"/>
  <c r="S10" i="4"/>
  <c r="V10" i="4" s="1"/>
  <c r="U9" i="4"/>
  <c r="T9" i="4"/>
  <c r="S9" i="4"/>
  <c r="U8" i="4"/>
  <c r="V8" i="4" s="1"/>
  <c r="T8" i="4"/>
  <c r="S8" i="4"/>
  <c r="U7" i="4"/>
  <c r="T7" i="4"/>
  <c r="V7" i="4" s="1"/>
  <c r="S7" i="4"/>
  <c r="U6" i="4"/>
  <c r="T6" i="4"/>
  <c r="S6" i="4"/>
  <c r="V6" i="4" s="1"/>
  <c r="U5" i="4"/>
  <c r="T5" i="4"/>
  <c r="S5" i="4"/>
  <c r="V5" i="4" s="1"/>
  <c r="U4" i="4"/>
  <c r="V4" i="4" s="1"/>
  <c r="T4" i="4"/>
  <c r="S4" i="4"/>
  <c r="U3" i="4"/>
  <c r="T3" i="4"/>
  <c r="V3" i="4" s="1"/>
  <c r="S3" i="4"/>
  <c r="U2" i="4"/>
  <c r="T2" i="4"/>
  <c r="S2" i="4"/>
  <c r="V9" i="4"/>
  <c r="V13" i="4"/>
  <c r="V11" i="4"/>
  <c r="B2" i="5"/>
  <c r="N13" i="4"/>
  <c r="I13" i="4"/>
  <c r="L13" i="4" s="1"/>
  <c r="N12" i="4"/>
  <c r="I12" i="4"/>
  <c r="L12" i="4" s="1"/>
  <c r="N11" i="4"/>
  <c r="I11" i="4"/>
  <c r="L11" i="4" s="1"/>
  <c r="N10" i="4"/>
  <c r="I10" i="4"/>
  <c r="L10" i="4" s="1"/>
  <c r="N9" i="4"/>
  <c r="I9" i="4"/>
  <c r="L9" i="4" s="1"/>
  <c r="N8" i="4"/>
  <c r="I8" i="4"/>
  <c r="L8" i="4" s="1"/>
  <c r="N7" i="4"/>
  <c r="I7" i="4"/>
  <c r="L7" i="4" s="1"/>
  <c r="N6" i="4"/>
  <c r="I6" i="4"/>
  <c r="L6" i="4" s="1"/>
  <c r="N5" i="4"/>
  <c r="I5" i="4"/>
  <c r="L5" i="4" s="1"/>
  <c r="N4" i="4"/>
  <c r="I4" i="4"/>
  <c r="L4" i="4" s="1"/>
  <c r="N3" i="4"/>
  <c r="I3" i="4"/>
  <c r="L3" i="4" s="1"/>
  <c r="N2" i="4"/>
  <c r="I2" i="4"/>
  <c r="L2" i="4" s="1"/>
  <c r="C2" i="4"/>
  <c r="B2" i="4"/>
  <c r="D2" i="4" s="1"/>
  <c r="B3" i="4" s="1"/>
  <c r="E4" i="3"/>
  <c r="B4" i="3"/>
  <c r="E3" i="3"/>
  <c r="B3" i="3"/>
  <c r="E2" i="3"/>
  <c r="B2" i="3"/>
  <c r="B1" i="2"/>
  <c r="B11" i="1"/>
  <c r="V2" i="4" l="1"/>
  <c r="C3" i="4"/>
  <c r="D3" i="4" s="1"/>
  <c r="B3" i="5"/>
  <c r="G2" i="4"/>
  <c r="H2" i="4" l="1"/>
  <c r="C4" i="4"/>
  <c r="B4" i="5" s="1"/>
  <c r="B4" i="4"/>
  <c r="D4" i="4" s="1"/>
  <c r="G3" i="4"/>
  <c r="C5" i="4" l="1"/>
  <c r="B5" i="5" s="1"/>
  <c r="B5" i="4"/>
  <c r="G4" i="4"/>
  <c r="H3" i="4"/>
  <c r="K2" i="4"/>
  <c r="M2" i="4" s="1"/>
  <c r="J2" i="4"/>
  <c r="Q2" i="4"/>
  <c r="Q3" i="4" l="1"/>
  <c r="K3" i="4"/>
  <c r="M3" i="4" s="1"/>
  <c r="J3" i="4"/>
  <c r="D5" i="4"/>
  <c r="R2" i="4"/>
  <c r="H4" i="4"/>
  <c r="K4" i="4" l="1"/>
  <c r="M4" i="4" s="1"/>
  <c r="J4" i="4"/>
  <c r="C6" i="4"/>
  <c r="B6" i="5"/>
  <c r="B6" i="4"/>
  <c r="D6" i="4" s="1"/>
  <c r="G5" i="4"/>
  <c r="Q4" i="4"/>
  <c r="R3" i="4"/>
  <c r="B7" i="4" l="1"/>
  <c r="D7" i="4" s="1"/>
  <c r="G6" i="4"/>
  <c r="B7" i="5"/>
  <c r="C7" i="4"/>
  <c r="O2" i="4"/>
  <c r="P2" i="4" s="1"/>
  <c r="R4" i="4"/>
  <c r="O3" i="4"/>
  <c r="P3" i="4" s="1"/>
  <c r="H5" i="4"/>
  <c r="C8" i="4" l="1"/>
  <c r="B8" i="5"/>
  <c r="B8" i="4"/>
  <c r="D8" i="4" s="1"/>
  <c r="G7" i="4"/>
  <c r="H6" i="4"/>
  <c r="O4" i="4"/>
  <c r="P4" i="4" s="1"/>
  <c r="J5" i="4"/>
  <c r="K5" i="4"/>
  <c r="M5" i="4" s="1"/>
  <c r="Q5" i="4"/>
  <c r="C9" i="4" l="1"/>
  <c r="B9" i="5" s="1"/>
  <c r="B9" i="4"/>
  <c r="D9" i="4" s="1"/>
  <c r="G8" i="4"/>
  <c r="R5" i="4"/>
  <c r="K6" i="4"/>
  <c r="M6" i="4" s="1"/>
  <c r="J6" i="4"/>
  <c r="Q6" i="4"/>
  <c r="H7" i="4"/>
  <c r="C10" i="4" l="1"/>
  <c r="D10" i="4" s="1"/>
  <c r="B10" i="5"/>
  <c r="B10" i="4"/>
  <c r="G9" i="4"/>
  <c r="H8" i="4"/>
  <c r="K7" i="4"/>
  <c r="M7" i="4" s="1"/>
  <c r="J7" i="4"/>
  <c r="Q7" i="4"/>
  <c r="R6" i="4"/>
  <c r="B11" i="4" l="1"/>
  <c r="D11" i="4" s="1"/>
  <c r="G10" i="4"/>
  <c r="C11" i="4"/>
  <c r="B11" i="5" s="1"/>
  <c r="K8" i="4"/>
  <c r="M8" i="4" s="1"/>
  <c r="J8" i="4"/>
  <c r="O5" i="4"/>
  <c r="P5" i="4" s="1"/>
  <c r="R7" i="4"/>
  <c r="O6" i="4"/>
  <c r="P6" i="4" s="1"/>
  <c r="H9" i="4"/>
  <c r="Q8" i="4"/>
  <c r="Q9" i="4" l="1"/>
  <c r="C12" i="4"/>
  <c r="B12" i="5" s="1"/>
  <c r="B12" i="4"/>
  <c r="G11" i="4"/>
  <c r="R8" i="4"/>
  <c r="J9" i="4"/>
  <c r="K9" i="4"/>
  <c r="M9" i="4" s="1"/>
  <c r="H10" i="4"/>
  <c r="Q10" i="4" s="1"/>
  <c r="D12" i="4" l="1"/>
  <c r="C13" i="4" s="1"/>
  <c r="B13" i="5" s="1"/>
  <c r="G12" i="4"/>
  <c r="O7" i="4"/>
  <c r="P7" i="4" s="1"/>
  <c r="H11" i="4"/>
  <c r="R9" i="4"/>
  <c r="O8" i="4"/>
  <c r="P8" i="4" s="1"/>
  <c r="Q11" i="4"/>
  <c r="K10" i="4"/>
  <c r="M10" i="4" s="1"/>
  <c r="J10" i="4"/>
  <c r="B13" i="4" l="1"/>
  <c r="D13" i="4" s="1"/>
  <c r="G13" i="4" s="1"/>
  <c r="R10" i="4"/>
  <c r="O9" i="4"/>
  <c r="P9" i="4" s="1"/>
  <c r="K11" i="4"/>
  <c r="M11" i="4" s="1"/>
  <c r="J11" i="4"/>
  <c r="H12" i="4"/>
  <c r="Q12" i="4" s="1"/>
  <c r="H13" i="4" l="1"/>
  <c r="Q13" i="4" s="1"/>
  <c r="B7" i="2" s="1"/>
  <c r="K12" i="4"/>
  <c r="M12" i="4" s="1"/>
  <c r="J12" i="4"/>
  <c r="K13" i="4"/>
  <c r="M13" i="4" s="1"/>
  <c r="B5" i="2" s="1"/>
  <c r="B3" i="2"/>
  <c r="R11" i="4"/>
  <c r="O10" i="4"/>
  <c r="P10" i="4" s="1"/>
  <c r="J13" i="4" l="1"/>
  <c r="B4" i="2" s="1"/>
  <c r="R12" i="4"/>
  <c r="O11" i="4"/>
  <c r="P11" i="4" s="1"/>
  <c r="R13" i="4" l="1"/>
  <c r="O12" i="4"/>
  <c r="P12" i="4" s="1"/>
  <c r="B2" i="2" l="1"/>
  <c r="O13" i="4"/>
  <c r="P13" i="4" s="1"/>
  <c r="B6" i="2" s="1"/>
</calcChain>
</file>

<file path=xl/sharedStrings.xml><?xml version="1.0" encoding="utf-8"?>
<sst xmlns="http://schemas.openxmlformats.org/spreadsheetml/2006/main" count="99" uniqueCount="86">
  <si>
    <t>parameter</t>
  </si>
  <si>
    <t>value</t>
  </si>
  <si>
    <t>local_rent_monthly</t>
  </si>
  <si>
    <t>utilities_monthly</t>
  </si>
  <si>
    <t>social_support_salary_monthly</t>
  </si>
  <si>
    <t>hosting_monthly</t>
  </si>
  <si>
    <t>sales_specialist_fixed_monthly</t>
  </si>
  <si>
    <t>developer_salary_monthly</t>
  </si>
  <si>
    <t>flutterwave_pct</t>
  </si>
  <si>
    <t>CAC</t>
  </si>
  <si>
    <t>churn_monthly_pct</t>
  </si>
  <si>
    <t>avg_lifetime_months</t>
  </si>
  <si>
    <t>solo_price</t>
  </si>
  <si>
    <t>basic_price</t>
  </si>
  <si>
    <t>pro_price</t>
  </si>
  <si>
    <t>solo_count</t>
  </si>
  <si>
    <t>basic_count</t>
  </si>
  <si>
    <t>pro_count</t>
  </si>
  <si>
    <t>solo_storage_gb</t>
  </si>
  <si>
    <t>basic_storage_gb</t>
  </si>
  <si>
    <t>pro_storage_gb</t>
  </si>
  <si>
    <t>commission_rate</t>
  </si>
  <si>
    <t>initial_clients_m1</t>
  </si>
  <si>
    <t>initial_clients_m2</t>
  </si>
  <si>
    <t>initial_clients_m3</t>
  </si>
  <si>
    <t>growth_rate_after_m3</t>
  </si>
  <si>
    <t>archive_cost_per_page</t>
  </si>
  <si>
    <t>archive_price_per_page</t>
  </si>
  <si>
    <t>pages_per_kg</t>
  </si>
  <si>
    <t>archive_price_per_kg</t>
  </si>
  <si>
    <t>archive_pages_monthly</t>
  </si>
  <si>
    <t>wasabi_cost_per_gb_usd</t>
  </si>
  <si>
    <t>usd_to_xaf</t>
  </si>
  <si>
    <t>wasabi_cost_per_gb_xaf</t>
  </si>
  <si>
    <t>fixed_costs_total</t>
  </si>
  <si>
    <t>storage_cost_monthly (Wasabi XAF)</t>
  </si>
  <si>
    <t>MRR_total_month</t>
  </si>
  <si>
    <t>flutterwave_fees_total_month</t>
  </si>
  <si>
    <t>commission_total_month</t>
  </si>
  <si>
    <t>profit_before_commissions_month_total</t>
  </si>
  <si>
    <t>profit_after_commissions_month_total</t>
  </si>
  <si>
    <t>plan</t>
  </si>
  <si>
    <t>price_per_month</t>
  </si>
  <si>
    <t>clients_current</t>
  </si>
  <si>
    <t>revenue_current</t>
  </si>
  <si>
    <t>storage_gb_included</t>
  </si>
  <si>
    <t>Solo</t>
  </si>
  <si>
    <t>Basic</t>
  </si>
  <si>
    <t>Pro</t>
  </si>
  <si>
    <t>Month</t>
  </si>
  <si>
    <t>NewClients</t>
  </si>
  <si>
    <t>ChurnClients</t>
  </si>
  <si>
    <t>TotalClients</t>
  </si>
  <si>
    <t>SoloClients</t>
  </si>
  <si>
    <t>BasicClients</t>
  </si>
  <si>
    <t>ProClients</t>
  </si>
  <si>
    <t>MRR</t>
  </si>
  <si>
    <t>ArchiveRevenue</t>
  </si>
  <si>
    <t>FlutterwaveFees</t>
  </si>
  <si>
    <t>CommissionSubscriptions</t>
  </si>
  <si>
    <t>CommissionArchive</t>
  </si>
  <si>
    <t>CommissionTotal</t>
  </si>
  <si>
    <t>ArchiveCost</t>
  </si>
  <si>
    <t>ProfitBeforeCommission</t>
  </si>
  <si>
    <t>ProfitAfterCommission</t>
  </si>
  <si>
    <t>CumulativeMRR</t>
  </si>
  <si>
    <t>CumulativeCommission</t>
  </si>
  <si>
    <t>SoloStorageGB</t>
  </si>
  <si>
    <t>BasicStorageGB</t>
  </si>
  <si>
    <t>ProStorageGB</t>
  </si>
  <si>
    <t>TotalStorageGB</t>
  </si>
  <si>
    <t>StorageCostWasabiXAF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</si>
  <si>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</si>
  <si>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</si>
  <si>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</si>
  <si>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</si>
  <si>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</si>
  <si>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</si>
  <si>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</si>
  <si>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</si>
  <si>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</si>
  <si>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</si>
  <si>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</si>
  <si>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</si>
  <si>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ChurnRate</t>
  </si>
  <si>
    <t>archive_revenue_month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</si>
</sst>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MRR (Monthly)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Projections!$H$1</c:f>
              <c:strCache>
                <c:ptCount val="1"/>
                <c:pt idx="0">
                  <c:v>MRR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Projections!$A$2:$A$13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Projections!$H$2:$H$13</c:f>
              <c:numCache>
                <c:formatCode>General</c:formatCode>
                <c:ptCount val="12"/>
                <c:pt idx="0">
                  <c:v>650000</c:v>
                </c:pt>
                <c:pt idx="1">
                  <c:v>1885000</c:v>
                </c:pt>
                <c:pt idx="2">
                  <c:v>3185000</c:v>
                </c:pt>
                <c:pt idx="3">
                  <c:v>3250000</c:v>
                </c:pt>
                <c:pt idx="4">
                  <c:v>3315000</c:v>
                </c:pt>
                <c:pt idx="5">
                  <c:v>3380000</c:v>
                </c:pt>
                <c:pt idx="6">
                  <c:v>3445000</c:v>
                </c:pt>
                <c:pt idx="7">
                  <c:v>3510000</c:v>
                </c:pt>
                <c:pt idx="8">
                  <c:v>3575000</c:v>
                </c:pt>
                <c:pt idx="9">
                  <c:v>3640000</c:v>
                </c:pt>
                <c:pt idx="10">
                  <c:v>3705000</c:v>
                </c:pt>
                <c:pt idx="11">
                  <c:v>3770000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D1-4672-8C9B-50EC6E259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MRR (FCFA)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Commission Total (Monthly)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Projections!$M$1</c:f>
              <c:strCache>
                <c:ptCount val="1"/>
                <c:pt idx="0">
                  <c:v>CommissionTotal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Projections!$A$2:$A$13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Projections!$M$2:$M$13</c:f>
              <c:numCache>
                <c:formatCode>General</c:formatCode>
                <c:ptCount val="12"/>
                <c:pt idx="0">
                  <c:v>255000</c:v>
                </c:pt>
                <c:pt idx="1">
                  <c:v>502000</c:v>
                </c:pt>
                <c:pt idx="2">
                  <c:v>762000</c:v>
                </c:pt>
                <c:pt idx="3">
                  <c:v>775000</c:v>
                </c:pt>
                <c:pt idx="4">
                  <c:v>788000</c:v>
                </c:pt>
                <c:pt idx="5">
                  <c:v>801000</c:v>
                </c:pt>
                <c:pt idx="6">
                  <c:v>814000</c:v>
                </c:pt>
                <c:pt idx="7">
                  <c:v>827000</c:v>
                </c:pt>
                <c:pt idx="8">
                  <c:v>840000</c:v>
                </c:pt>
                <c:pt idx="9">
                  <c:v>853000</c:v>
                </c:pt>
                <c:pt idx="10">
                  <c:v>866000</c:v>
                </c:pt>
                <c:pt idx="11">
                  <c:v>879000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C-4F53-BD4C-4A1D4BCB5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Commission (FCFA)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Before and After Commissions (Monthly)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Projections!$O$1</c:f>
              <c:strCache>
                <c:ptCount val="1"/>
                <c:pt idx="0">
                  <c:v>ProfitBeforeCommission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Projections!$A$2:$A$13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Projections!$O$2:$O$13</c:f>
              <c:numCache>
                <c:formatCode>General</c:formatCode>
                <c:ptCount val="12"/>
                <c:pt idx="0">
                  <c:v>714700</c:v>
                </c:pt>
                <c:pt idx="1">
                  <c:v>1912555</c:v>
                </c:pt>
                <c:pt idx="2">
                  <c:v>3173455</c:v>
                </c:pt>
                <c:pt idx="3">
                  <c:v>3236500</c:v>
                </c:pt>
                <c:pt idx="4">
                  <c:v>3299545</c:v>
                </c:pt>
                <c:pt idx="5">
                  <c:v>3362590</c:v>
                </c:pt>
                <c:pt idx="6">
                  <c:v>3425635</c:v>
                </c:pt>
                <c:pt idx="7">
                  <c:v>3488680</c:v>
                </c:pt>
                <c:pt idx="8">
                  <c:v>3551725</c:v>
                </c:pt>
                <c:pt idx="9">
                  <c:v>3614770</c:v>
                </c:pt>
                <c:pt idx="10">
                  <c:v>3677815</c:v>
                </c:pt>
                <c:pt idx="11">
                  <c:v>3740860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F-43A1-B01E-CB5CD2A66761}"/>
            </c:ext>
          </c:extLst>
        </c:ser>
        <c:ser>
          <c:idx val="1"/>
          <c:order val="1"/>
          <c:tx>
            <c:strRef>
              <c:f>Projections!$P$1</c:f>
              <c:strCache>
                <c:ptCount val="1"/>
                <c:pt idx="0">
                  <c:v>ProfitAfterCommission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Projections!$A$2:$A$13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Projections!$P$2:$P$13</c:f>
              <c:numCache>
                <c:formatCode>General</c:formatCode>
                <c:ptCount val="12"/>
                <c:pt idx="0">
                  <c:v>459700</c:v>
                </c:pt>
                <c:pt idx="1">
                  <c:v>1410555</c:v>
                </c:pt>
                <c:pt idx="2">
                  <c:v>2411455</c:v>
                </c:pt>
                <c:pt idx="3">
                  <c:v>2461500</c:v>
                </c:pt>
                <c:pt idx="4">
                  <c:v>2511545</c:v>
                </c:pt>
                <c:pt idx="5">
                  <c:v>2561590</c:v>
                </c:pt>
                <c:pt idx="6">
                  <c:v>2611635</c:v>
                </c:pt>
                <c:pt idx="7">
                  <c:v>2661680</c:v>
                </c:pt>
                <c:pt idx="8">
                  <c:v>2711725</c:v>
                </c:pt>
                <c:pt idx="9">
                  <c:v>2761770</c:v>
                </c:pt>
                <c:pt idx="10">
                  <c:v>2811815</c:v>
                </c:pt>
                <c:pt idx="11">
                  <c:v>2861860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3F-43A1-B01E-CB5CD2A66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(FCFA)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Churn Rate (Monthly)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Charts!$A$2:$A$13</c:f>
              <c:strCache>
                <c:ptCount val="12"/>
                <c:pt idx="0">
                  <c:v>M1</c:v>
                </c:pt>
                <c:pt idx="1">
                  <c:v>M2</c:v>
                </c:pt>
                <c:pt idx="2">
                  <c:v>M3</c:v>
                </c:pt>
                <c:pt idx="3">
                  <c:v>M4</c:v>
                </c:pt>
                <c:pt idx="4">
                  <c:v>M5</c:v>
                </c:pt>
                <c:pt idx="5">
                  <c:v>M6</c:v>
                </c:pt>
                <c:pt idx="6">
                  <c:v>M7</c:v>
                </c:pt>
                <c:pt idx="7">
                  <c:v>M8</c:v>
                </c:pt>
                <c:pt idx="8">
                  <c:v>M9</c:v>
                </c:pt>
                <c:pt idx="9">
                  <c:v>M10</c:v>
                </c:pt>
                <c:pt idx="10">
                  <c:v>M11</c:v>
                </c:pt>
                <c:pt idx="11">
                  <c:v>M12</c:v>
                </c:pt>
              </c:strCache>
            </c:strRef>
          </c:cat>
          <c:val>
            <c:numRef>
              <c:f>Charts!$B$2:$B$13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3.4482758620689655E-2</c:v>
                </c:pt>
                <c:pt idx="3">
                  <c:v>4.0816326530612242E-2</c:v>
                </c:pt>
                <c:pt idx="4">
                  <c:v>0.06</c:v>
                </c:pt>
                <c:pt idx="5">
                  <c:v>5.8823529411764705E-2</c:v>
                </c:pt>
                <c:pt idx="6">
                  <c:v>5.7692307692307696E-2</c:v>
                </c:pt>
                <c:pt idx="7">
                  <c:v>5.6603773584905662E-2</c:v>
                </c:pt>
                <c:pt idx="8">
                  <c:v>5.5555555555555552E-2</c:v>
                </c:pt>
                <c:pt idx="9">
                  <c:v>5.4545454545454543E-2</c:v>
                </c:pt>
                <c:pt idx="10">
                  <c:v>5.3571428571428568E-2</c:v>
                </c:pt>
                <c:pt idx="11">
                  <c:v>5.2631578947368418E-2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3-41D3-B52A-878E151BF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72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17</xdr:row>
      <xdr:rowOff>0</xdr:rowOff>
    </xdr:from>
    <xdr:ext cx="72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17</xdr:row>
      <xdr:rowOff>0</xdr:rowOff>
    </xdr:from>
    <xdr:ext cx="720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0</xdr:row>
      <xdr:rowOff>180975</xdr:rowOff>
    </xdr:from>
    <xdr:ext cx="720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4" workbookViewId="0">
      <selection activeCell="B33" sqref="B33"/>
    </sheetView>
  </sheetViews>
  <sheetFormatPr defaultRowHeight="15" x14ac:dyDescent="0.25"/>
  <cols>
    <col min="1" max="2" width="3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>
        <v>80000</v>
      </c>
    </row>
    <row r="3" spans="1:2" x14ac:dyDescent="0.25">
      <c r="A3" s="2" t="s">
        <v>3</v>
      </c>
      <c r="B3">
        <v>10000</v>
      </c>
    </row>
    <row r="4" spans="1:2" x14ac:dyDescent="0.25">
      <c r="A4" s="2" t="s">
        <v>4</v>
      </c>
      <c r="B4">
        <v>50000</v>
      </c>
    </row>
    <row r="5" spans="1:2" x14ac:dyDescent="0.25">
      <c r="A5" s="2" t="s">
        <v>5</v>
      </c>
      <c r="B5">
        <v>18000</v>
      </c>
    </row>
    <row r="6" spans="1:2" x14ac:dyDescent="0.25">
      <c r="A6" s="2" t="s">
        <v>6</v>
      </c>
      <c r="B6">
        <v>60000</v>
      </c>
    </row>
    <row r="7" spans="1:2" x14ac:dyDescent="0.25">
      <c r="A7" s="2" t="s">
        <v>7</v>
      </c>
      <c r="B7">
        <v>0</v>
      </c>
    </row>
    <row r="8" spans="1:2" x14ac:dyDescent="0.25">
      <c r="A8" s="2" t="s">
        <v>8</v>
      </c>
      <c r="B8">
        <v>0.03</v>
      </c>
    </row>
    <row r="9" spans="1:2" x14ac:dyDescent="0.25">
      <c r="A9" s="2" t="s">
        <v>9</v>
      </c>
      <c r="B9">
        <v>10000</v>
      </c>
    </row>
    <row r="10" spans="1:2" x14ac:dyDescent="0.25">
      <c r="A10" s="2" t="s">
        <v>10</v>
      </c>
      <c r="B10">
        <v>0.05</v>
      </c>
    </row>
    <row r="11" spans="1:2" x14ac:dyDescent="0.25">
      <c r="A11" s="2" t="s">
        <v>11</v>
      </c>
      <c r="B11">
        <f>1/Inputs!B9</f>
        <v>1E-4</v>
      </c>
    </row>
    <row r="12" spans="1:2" x14ac:dyDescent="0.25">
      <c r="A12" s="2" t="s">
        <v>12</v>
      </c>
      <c r="B12">
        <v>8000</v>
      </c>
    </row>
    <row r="13" spans="1:2" x14ac:dyDescent="0.25">
      <c r="A13" s="2" t="s">
        <v>13</v>
      </c>
      <c r="B13">
        <v>35000</v>
      </c>
    </row>
    <row r="14" spans="1:2" x14ac:dyDescent="0.25">
      <c r="A14" s="2" t="s">
        <v>14</v>
      </c>
      <c r="B14">
        <v>65000</v>
      </c>
    </row>
    <row r="15" spans="1:2" x14ac:dyDescent="0.25">
      <c r="A15" s="2" t="s">
        <v>15</v>
      </c>
      <c r="B15">
        <v>20</v>
      </c>
    </row>
    <row r="16" spans="1:2" x14ac:dyDescent="0.25">
      <c r="A16" s="2" t="s">
        <v>16</v>
      </c>
      <c r="B16">
        <v>20</v>
      </c>
    </row>
    <row r="17" spans="1:2" x14ac:dyDescent="0.25">
      <c r="A17" s="2" t="s">
        <v>17</v>
      </c>
      <c r="B17">
        <v>10</v>
      </c>
    </row>
    <row r="18" spans="1:2" x14ac:dyDescent="0.25">
      <c r="A18" s="2" t="s">
        <v>18</v>
      </c>
      <c r="B18">
        <v>1</v>
      </c>
    </row>
    <row r="19" spans="1:2" x14ac:dyDescent="0.25">
      <c r="A19" s="2" t="s">
        <v>19</v>
      </c>
      <c r="B19">
        <v>3</v>
      </c>
    </row>
    <row r="20" spans="1:2" x14ac:dyDescent="0.25">
      <c r="A20" s="2" t="s">
        <v>20</v>
      </c>
      <c r="B20">
        <v>5</v>
      </c>
    </row>
    <row r="21" spans="1:2" x14ac:dyDescent="0.25">
      <c r="A21" s="2" t="s">
        <v>21</v>
      </c>
      <c r="B21">
        <v>0.2</v>
      </c>
    </row>
    <row r="22" spans="1:2" x14ac:dyDescent="0.25">
      <c r="A22" s="2" t="s">
        <v>22</v>
      </c>
      <c r="B22">
        <v>10</v>
      </c>
    </row>
    <row r="23" spans="1:2" x14ac:dyDescent="0.25">
      <c r="A23" s="2" t="s">
        <v>23</v>
      </c>
      <c r="B23">
        <v>30</v>
      </c>
    </row>
    <row r="24" spans="1:2" x14ac:dyDescent="0.25">
      <c r="A24" s="2" t="s">
        <v>24</v>
      </c>
      <c r="B24">
        <v>50</v>
      </c>
    </row>
    <row r="25" spans="1:2" x14ac:dyDescent="0.25">
      <c r="A25" s="2" t="s">
        <v>25</v>
      </c>
      <c r="B25">
        <v>7.0000000000000007E-2</v>
      </c>
    </row>
    <row r="26" spans="1:2" x14ac:dyDescent="0.25">
      <c r="A26" s="2" t="s">
        <v>26</v>
      </c>
      <c r="B26">
        <v>12.16</v>
      </c>
    </row>
    <row r="27" spans="1:2" x14ac:dyDescent="0.25">
      <c r="A27" s="2" t="s">
        <v>27</v>
      </c>
      <c r="B27">
        <v>25</v>
      </c>
    </row>
    <row r="28" spans="1:2" x14ac:dyDescent="0.25">
      <c r="A28" s="2" t="s">
        <v>28</v>
      </c>
      <c r="B28">
        <v>200</v>
      </c>
    </row>
    <row r="29" spans="1:2" x14ac:dyDescent="0.25">
      <c r="A29" s="2" t="s">
        <v>29</v>
      </c>
      <c r="B29">
        <v>4000</v>
      </c>
    </row>
    <row r="30" spans="1:2" x14ac:dyDescent="0.25">
      <c r="A30" s="2" t="s">
        <v>30</v>
      </c>
      <c r="B30">
        <v>25000</v>
      </c>
    </row>
    <row r="31" spans="1:2" x14ac:dyDescent="0.25">
      <c r="A31" s="2" t="s">
        <v>31</v>
      </c>
      <c r="B31">
        <v>5.8999999999999999E-3</v>
      </c>
    </row>
    <row r="32" spans="1:2" x14ac:dyDescent="0.25">
      <c r="A32" s="2" t="s">
        <v>32</v>
      </c>
      <c r="B32">
        <v>600</v>
      </c>
    </row>
    <row r="33" spans="1:2" x14ac:dyDescent="0.25">
      <c r="A33" s="2" t="s">
        <v>33</v>
      </c>
      <c r="B33">
        <f>B31*B32</f>
        <v>3.54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B8"/>
    </sheetView>
  </sheetViews>
  <sheetFormatPr defaultRowHeight="15" x14ac:dyDescent="0.25"/>
  <cols>
    <col min="1" max="1" width="50" customWidth="1"/>
    <col min="2" max="2" width="25.85546875" customWidth="1"/>
  </cols>
  <sheetData>
    <row r="1" spans="1:2" x14ac:dyDescent="0.25">
      <c r="A1" s="3" t="s">
        <v>34</v>
      </c>
      <c r="B1">
        <f>SUM(Inputs!B2:'Inputs'!B6)</f>
        <v>218000</v>
      </c>
    </row>
    <row r="2" spans="1:2" x14ac:dyDescent="0.25">
      <c r="A2" s="3" t="s">
        <v>35</v>
      </c>
      <c r="B2">
        <f>SUM(Projections!V2:V13)</f>
        <v>2870</v>
      </c>
    </row>
    <row r="3" spans="1:2" x14ac:dyDescent="0.25">
      <c r="A3" s="3" t="s">
        <v>36</v>
      </c>
      <c r="B3">
        <f>SUM(Projections!H2:H13)</f>
        <v>37310000</v>
      </c>
    </row>
    <row r="4" spans="1:2" x14ac:dyDescent="0.25">
      <c r="A4" s="3" t="s">
        <v>37</v>
      </c>
      <c r="B4">
        <f>SUM(Projections!J2:J13)</f>
        <v>1344300</v>
      </c>
    </row>
    <row r="5" spans="1:2" x14ac:dyDescent="0.25">
      <c r="A5" s="3" t="s">
        <v>38</v>
      </c>
      <c r="B5">
        <f>SUM(Projections!M2:M13)</f>
        <v>8962000</v>
      </c>
    </row>
    <row r="6" spans="1:2" x14ac:dyDescent="0.25">
      <c r="A6" s="3" t="s">
        <v>39</v>
      </c>
      <c r="B6">
        <f>SUM(Projections!P2:P13)</f>
        <v>28236830</v>
      </c>
    </row>
    <row r="7" spans="1:2" x14ac:dyDescent="0.25">
      <c r="A7" s="3" t="s">
        <v>40</v>
      </c>
      <c r="B7">
        <f>SUM(Projections!Q2:Q13)</f>
        <v>214435000</v>
      </c>
    </row>
    <row r="8" spans="1:2" x14ac:dyDescent="0.25">
      <c r="A8" s="3" t="s">
        <v>85</v>
      </c>
      <c r="B8">
        <f>Projections!I5</f>
        <v>625000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>
      <selection activeCell="D1" sqref="D1"/>
    </sheetView>
  </sheetViews>
  <sheetFormatPr defaultRowHeight="15" x14ac:dyDescent="0.25"/>
  <cols>
    <col min="1" max="1" width="5.42578125" bestFit="1" customWidth="1"/>
    <col min="2" max="2" width="16.42578125" bestFit="1" customWidth="1"/>
    <col min="3" max="3" width="14.42578125" bestFit="1" customWidth="1"/>
    <col min="4" max="4" width="16" bestFit="1" customWidth="1"/>
    <col min="5" max="5" width="19.7109375" bestFit="1" customWidth="1"/>
  </cols>
  <sheetData>
    <row r="1" spans="1:5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25">
      <c r="A2" t="s">
        <v>46</v>
      </c>
      <c r="B2">
        <f>Inputs!B12</f>
        <v>8000</v>
      </c>
      <c r="E2">
        <f>Inputs!B18</f>
        <v>1</v>
      </c>
    </row>
    <row r="3" spans="1:5" x14ac:dyDescent="0.25">
      <c r="A3" t="s">
        <v>47</v>
      </c>
      <c r="B3">
        <f>Inputs!B13</f>
        <v>35000</v>
      </c>
      <c r="E3">
        <f>Inputs!B19</f>
        <v>3</v>
      </c>
    </row>
    <row r="4" spans="1:5" x14ac:dyDescent="0.25">
      <c r="A4" t="s">
        <v>48</v>
      </c>
      <c r="B4">
        <f>Inputs!B14</f>
        <v>65000</v>
      </c>
      <c r="E4">
        <f>Inputs!B20</f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"/>
  <sheetViews>
    <sheetView topLeftCell="N1" workbookViewId="0">
      <selection activeCell="W2" sqref="W2"/>
    </sheetView>
  </sheetViews>
  <sheetFormatPr defaultColWidth="20.5703125" defaultRowHeight="15" x14ac:dyDescent="0.25"/>
  <cols>
    <col min="1" max="1" width="7" bestFit="1" customWidth="1"/>
    <col min="2" max="2" width="11.28515625" bestFit="1" customWidth="1"/>
    <col min="3" max="3" width="12.42578125" bestFit="1" customWidth="1"/>
    <col min="4" max="4" width="11.5703125" bestFit="1" customWidth="1"/>
    <col min="5" max="5" width="11" bestFit="1" customWidth="1"/>
    <col min="6" max="6" width="11.5703125" bestFit="1" customWidth="1"/>
    <col min="7" max="7" width="10.140625" bestFit="1" customWidth="1"/>
    <col min="8" max="8" width="8" bestFit="1" customWidth="1"/>
    <col min="9" max="9" width="15.7109375" bestFit="1" customWidth="1"/>
    <col min="10" max="10" width="16" bestFit="1" customWidth="1"/>
    <col min="11" max="11" width="24.140625" bestFit="1" customWidth="1"/>
    <col min="12" max="12" width="18.85546875" bestFit="1" customWidth="1"/>
    <col min="13" max="13" width="16.42578125" bestFit="1" customWidth="1"/>
    <col min="14" max="14" width="11.5703125" bestFit="1" customWidth="1"/>
    <col min="15" max="15" width="23.28515625" bestFit="1" customWidth="1"/>
    <col min="16" max="16" width="21.85546875" bestFit="1" customWidth="1"/>
    <col min="17" max="17" width="15.42578125" bestFit="1" customWidth="1"/>
    <col min="18" max="18" width="22.42578125" bestFit="1" customWidth="1"/>
    <col min="19" max="19" width="14.28515625" bestFit="1" customWidth="1"/>
    <col min="20" max="20" width="14.85546875" bestFit="1" customWidth="1"/>
    <col min="21" max="21" width="13.42578125" bestFit="1" customWidth="1"/>
    <col min="22" max="22" width="14.85546875" bestFit="1" customWidth="1"/>
    <col min="23" max="23" width="22" bestFit="1" customWidth="1"/>
  </cols>
  <sheetData>
    <row r="1" spans="1:23" x14ac:dyDescent="0.25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  <c r="O1" s="4" t="s">
        <v>63</v>
      </c>
      <c r="P1" s="4" t="s">
        <v>64</v>
      </c>
      <c r="Q1" s="4" t="s">
        <v>65</v>
      </c>
      <c r="R1" s="4" t="s">
        <v>66</v>
      </c>
      <c r="S1" s="4" t="s">
        <v>67</v>
      </c>
      <c r="T1" s="4" t="s">
        <v>68</v>
      </c>
      <c r="U1" s="4" t="s">
        <v>69</v>
      </c>
      <c r="V1" s="4" t="s">
        <v>70</v>
      </c>
      <c r="W1" s="4" t="s">
        <v>71</v>
      </c>
    </row>
    <row r="2" spans="1:23" x14ac:dyDescent="0.25">
      <c r="A2" t="s">
        <v>72</v>
      </c>
      <c r="B2">
        <f>Inputs!B22</f>
        <v>10</v>
      </c>
      <c r="C2">
        <f>0</f>
        <v>0</v>
      </c>
      <c r="D2">
        <f>B2 - C2</f>
        <v>10</v>
      </c>
      <c r="G2">
        <f t="shared" ref="G2:G13" si="0">D2 - E2 - F2</f>
        <v>10</v>
      </c>
      <c r="H2">
        <f>E2*Inputs!B12 + F2*Inputs!B13 + G2*Inputs!B14</f>
        <v>650000</v>
      </c>
      <c r="I2">
        <f>Inputs!B30 * Inputs!B27</f>
        <v>625000</v>
      </c>
      <c r="J2">
        <f>ROUND((H2 + I2) * Inputs!B8,0)</f>
        <v>38250</v>
      </c>
      <c r="K2">
        <f>ROUND(H2 * Inputs!B21,0)</f>
        <v>130000</v>
      </c>
      <c r="L2">
        <f>ROUND(I2 * Inputs!B21,0)</f>
        <v>125000</v>
      </c>
      <c r="M2">
        <f t="shared" ref="M2:M13" si="1">K2 + L2</f>
        <v>255000</v>
      </c>
      <c r="N2">
        <f>Inputs!B30 * Inputs!B26</f>
        <v>304000</v>
      </c>
      <c r="O2">
        <f>(H2 + I2) - (Totals!$B$1 + J2 + N2 + V2)</f>
        <v>714700</v>
      </c>
      <c r="P2">
        <f t="shared" ref="P2:P13" si="2">O2 - M2</f>
        <v>459700</v>
      </c>
      <c r="Q2">
        <f>H2</f>
        <v>650000</v>
      </c>
      <c r="R2">
        <f>M2</f>
        <v>255000</v>
      </c>
      <c r="S2">
        <f>E2 * Inputs!$B$18</f>
        <v>0</v>
      </c>
      <c r="T2">
        <f>F2 * Inputs!$B$19</f>
        <v>0</v>
      </c>
      <c r="U2">
        <f>G2 * Inputs!$B$20</f>
        <v>50</v>
      </c>
      <c r="V2">
        <f t="shared" ref="V2:V13" si="3">SUM(S2:U2)</f>
        <v>50</v>
      </c>
      <c r="W2">
        <f>ROUND(V2 * Inputs!$B$33,0)</f>
        <v>177</v>
      </c>
    </row>
    <row r="3" spans="1:23" x14ac:dyDescent="0.25">
      <c r="A3" t="s">
        <v>73</v>
      </c>
      <c r="B3">
        <f>Inputs!B23 - Projections!D2</f>
        <v>20</v>
      </c>
      <c r="C3">
        <f>ROUND(Projections!D2 * Inputs!B10,0)</f>
        <v>1</v>
      </c>
      <c r="D3">
        <f>Projections!D2 + B3 - C3</f>
        <v>29</v>
      </c>
      <c r="G3">
        <f t="shared" si="0"/>
        <v>29</v>
      </c>
      <c r="H3">
        <f>E3*Inputs!B12 + F3*Inputs!B13 + G3*Inputs!B14</f>
        <v>1885000</v>
      </c>
      <c r="I3">
        <f>Inputs!B30 * Inputs!B27</f>
        <v>625000</v>
      </c>
      <c r="J3">
        <f>ROUND((H3 + I3) * Inputs!B8,0)</f>
        <v>75300</v>
      </c>
      <c r="K3">
        <f>ROUND(H3 * Inputs!B21,0)</f>
        <v>377000</v>
      </c>
      <c r="L3">
        <f>ROUND(I3 * Inputs!B21,0)</f>
        <v>125000</v>
      </c>
      <c r="M3">
        <f t="shared" si="1"/>
        <v>502000</v>
      </c>
      <c r="N3">
        <f>Inputs!B30 * Inputs!B26</f>
        <v>304000</v>
      </c>
      <c r="O3">
        <f>(H3 + I3) - (Totals!$B$1 + J3 + N3 + V3)</f>
        <v>1912555</v>
      </c>
      <c r="P3">
        <f t="shared" si="2"/>
        <v>1410555</v>
      </c>
      <c r="Q3">
        <f t="shared" ref="Q3:Q13" si="4">Q2 + H3</f>
        <v>2535000</v>
      </c>
      <c r="R3">
        <f t="shared" ref="R3:R13" si="5">R2 + M3</f>
        <v>757000</v>
      </c>
      <c r="S3">
        <f>E3 * Inputs!$B$18</f>
        <v>0</v>
      </c>
      <c r="T3">
        <f>F3 * Inputs!$B$19</f>
        <v>0</v>
      </c>
      <c r="U3">
        <f>G3 * Inputs!$B$20</f>
        <v>145</v>
      </c>
      <c r="V3">
        <f t="shared" si="3"/>
        <v>145</v>
      </c>
      <c r="W3">
        <f>ROUND(V3 * Inputs!$B$33,0)</f>
        <v>513</v>
      </c>
    </row>
    <row r="4" spans="1:23" x14ac:dyDescent="0.25">
      <c r="A4" t="s">
        <v>74</v>
      </c>
      <c r="B4">
        <f>Inputs!B24 - Projections!D3</f>
        <v>21</v>
      </c>
      <c r="C4">
        <f>ROUND(Projections!D3 * Inputs!B10,0)</f>
        <v>1</v>
      </c>
      <c r="D4">
        <f>Projections!D3 + B4 - C4</f>
        <v>49</v>
      </c>
      <c r="G4">
        <f t="shared" si="0"/>
        <v>49</v>
      </c>
      <c r="H4">
        <f>E4*Inputs!B12 + F4*Inputs!B13 + G4*Inputs!B14</f>
        <v>3185000</v>
      </c>
      <c r="I4">
        <f>Inputs!B30 * Inputs!B27</f>
        <v>625000</v>
      </c>
      <c r="J4">
        <f>ROUND((H4 + I4) * Inputs!B8,0)</f>
        <v>114300</v>
      </c>
      <c r="K4">
        <f>ROUND(H4 * Inputs!B21,0)</f>
        <v>637000</v>
      </c>
      <c r="L4">
        <f>ROUND(I4 * Inputs!B21,0)</f>
        <v>125000</v>
      </c>
      <c r="M4">
        <f t="shared" si="1"/>
        <v>762000</v>
      </c>
      <c r="N4">
        <f>Inputs!B30 * Inputs!B26</f>
        <v>304000</v>
      </c>
      <c r="O4">
        <f>(H4 + I4) - (Totals!$B$1 + J4 + N4 + V4)</f>
        <v>3173455</v>
      </c>
      <c r="P4">
        <f t="shared" si="2"/>
        <v>2411455</v>
      </c>
      <c r="Q4">
        <f t="shared" si="4"/>
        <v>5720000</v>
      </c>
      <c r="R4">
        <f t="shared" si="5"/>
        <v>1519000</v>
      </c>
      <c r="S4">
        <f>E4 * Inputs!$B$18</f>
        <v>0</v>
      </c>
      <c r="T4">
        <f>F4 * Inputs!$B$19</f>
        <v>0</v>
      </c>
      <c r="U4">
        <f>G4 * Inputs!$B$20</f>
        <v>245</v>
      </c>
      <c r="V4">
        <f t="shared" si="3"/>
        <v>245</v>
      </c>
      <c r="W4">
        <f>ROUND(V4 * Inputs!$B$33,0)</f>
        <v>867</v>
      </c>
    </row>
    <row r="5" spans="1:23" x14ac:dyDescent="0.25">
      <c r="A5" t="s">
        <v>75</v>
      </c>
      <c r="B5">
        <f>ROUND(Projections!D4 * Inputs!B25,0)</f>
        <v>3</v>
      </c>
      <c r="C5">
        <f>ROUND(Projections!D4 * Inputs!B10,0)</f>
        <v>2</v>
      </c>
      <c r="D5">
        <f>Projections!D4 + B5 - C5</f>
        <v>50</v>
      </c>
      <c r="G5">
        <f t="shared" si="0"/>
        <v>50</v>
      </c>
      <c r="H5">
        <f>E5*Inputs!B12 + F5*Inputs!B13 + G5*Inputs!B14</f>
        <v>3250000</v>
      </c>
      <c r="I5">
        <f>Inputs!B30 * Inputs!B27</f>
        <v>625000</v>
      </c>
      <c r="J5">
        <f>ROUND((H5 + I5) * Inputs!B8,0)</f>
        <v>116250</v>
      </c>
      <c r="K5">
        <f>ROUND(H5 * Inputs!B21,0)</f>
        <v>650000</v>
      </c>
      <c r="L5">
        <f>ROUND(I5 * Inputs!B21,0)</f>
        <v>125000</v>
      </c>
      <c r="M5">
        <f t="shared" si="1"/>
        <v>775000</v>
      </c>
      <c r="N5">
        <f>Inputs!B30 * Inputs!B26</f>
        <v>304000</v>
      </c>
      <c r="O5">
        <f>(H5 + I5) - (Totals!$B$1 + J5 + N5 + V5)</f>
        <v>3236500</v>
      </c>
      <c r="P5">
        <f t="shared" si="2"/>
        <v>2461500</v>
      </c>
      <c r="Q5">
        <f t="shared" si="4"/>
        <v>8970000</v>
      </c>
      <c r="R5">
        <f t="shared" si="5"/>
        <v>2294000</v>
      </c>
      <c r="S5">
        <f>E5 * Inputs!$B$18</f>
        <v>0</v>
      </c>
      <c r="T5">
        <f>F5 * Inputs!$B$19</f>
        <v>0</v>
      </c>
      <c r="U5">
        <f>G5 * Inputs!$B$20</f>
        <v>250</v>
      </c>
      <c r="V5">
        <f t="shared" si="3"/>
        <v>250</v>
      </c>
      <c r="W5">
        <f>ROUND(V5 * Inputs!$B$33,0)</f>
        <v>885</v>
      </c>
    </row>
    <row r="6" spans="1:23" x14ac:dyDescent="0.25">
      <c r="A6" t="s">
        <v>76</v>
      </c>
      <c r="B6">
        <f>ROUND(Projections!D5 * Inputs!B25,0)</f>
        <v>4</v>
      </c>
      <c r="C6">
        <f>ROUND(Projections!D5 * Inputs!B10,0)</f>
        <v>3</v>
      </c>
      <c r="D6">
        <f>Projections!D5 + B6 - C6</f>
        <v>51</v>
      </c>
      <c r="G6">
        <f t="shared" si="0"/>
        <v>51</v>
      </c>
      <c r="H6">
        <f>E6*Inputs!B12 + F6*Inputs!B13 + G6*Inputs!B14</f>
        <v>3315000</v>
      </c>
      <c r="I6">
        <f>Inputs!B30 * Inputs!B27</f>
        <v>625000</v>
      </c>
      <c r="J6">
        <f>ROUND((H6 + I6) * Inputs!B8,0)</f>
        <v>118200</v>
      </c>
      <c r="K6">
        <f>ROUND(H6 * Inputs!B21,0)</f>
        <v>663000</v>
      </c>
      <c r="L6">
        <f>ROUND(I6 * Inputs!B21,0)</f>
        <v>125000</v>
      </c>
      <c r="M6">
        <f t="shared" si="1"/>
        <v>788000</v>
      </c>
      <c r="N6">
        <f>Inputs!B30 * Inputs!B26</f>
        <v>304000</v>
      </c>
      <c r="O6">
        <f>(H6 + I6) - (Totals!$B$1 + J6 + N6 + V6)</f>
        <v>3299545</v>
      </c>
      <c r="P6">
        <f t="shared" si="2"/>
        <v>2511545</v>
      </c>
      <c r="Q6">
        <f t="shared" si="4"/>
        <v>12285000</v>
      </c>
      <c r="R6">
        <f t="shared" si="5"/>
        <v>3082000</v>
      </c>
      <c r="S6">
        <f>E6 * Inputs!$B$18</f>
        <v>0</v>
      </c>
      <c r="T6">
        <f>F6 * Inputs!$B$19</f>
        <v>0</v>
      </c>
      <c r="U6">
        <f>G6 * Inputs!$B$20</f>
        <v>255</v>
      </c>
      <c r="V6">
        <f t="shared" si="3"/>
        <v>255</v>
      </c>
      <c r="W6">
        <f>ROUND(V6 * Inputs!$B$33,0)</f>
        <v>903</v>
      </c>
    </row>
    <row r="7" spans="1:23" x14ac:dyDescent="0.25">
      <c r="A7" t="s">
        <v>77</v>
      </c>
      <c r="B7">
        <f>ROUND(Projections!D6 * Inputs!B25,0)</f>
        <v>4</v>
      </c>
      <c r="C7">
        <f>ROUND(Projections!D6 * Inputs!B10,0)</f>
        <v>3</v>
      </c>
      <c r="D7">
        <f>Projections!D6 + B7 - C7</f>
        <v>52</v>
      </c>
      <c r="G7">
        <f t="shared" si="0"/>
        <v>52</v>
      </c>
      <c r="H7">
        <f>E7*Inputs!B12 + F7*Inputs!B13 + G7*Inputs!B14</f>
        <v>3380000</v>
      </c>
      <c r="I7">
        <f>Inputs!B30 * Inputs!B27</f>
        <v>625000</v>
      </c>
      <c r="J7">
        <f>ROUND((H7 + I7) * Inputs!B8,0)</f>
        <v>120150</v>
      </c>
      <c r="K7">
        <f>ROUND(H7 * Inputs!B21,0)</f>
        <v>676000</v>
      </c>
      <c r="L7">
        <f>ROUND(I7 * Inputs!B21,0)</f>
        <v>125000</v>
      </c>
      <c r="M7">
        <f t="shared" si="1"/>
        <v>801000</v>
      </c>
      <c r="N7">
        <f>Inputs!B30 * Inputs!B26</f>
        <v>304000</v>
      </c>
      <c r="O7">
        <f>(H7 + I7) - (Totals!$B$1 + J7 + N7 + V7)</f>
        <v>3362590</v>
      </c>
      <c r="P7">
        <f t="shared" si="2"/>
        <v>2561590</v>
      </c>
      <c r="Q7">
        <f t="shared" si="4"/>
        <v>15665000</v>
      </c>
      <c r="R7">
        <f t="shared" si="5"/>
        <v>3883000</v>
      </c>
      <c r="S7">
        <f>E7 * Inputs!$B$18</f>
        <v>0</v>
      </c>
      <c r="T7">
        <f>F7 * Inputs!$B$19</f>
        <v>0</v>
      </c>
      <c r="U7">
        <f>G7 * Inputs!$B$20</f>
        <v>260</v>
      </c>
      <c r="V7">
        <f t="shared" si="3"/>
        <v>260</v>
      </c>
      <c r="W7">
        <f>ROUND(V7 * Inputs!$B$33,0)</f>
        <v>920</v>
      </c>
    </row>
    <row r="8" spans="1:23" x14ac:dyDescent="0.25">
      <c r="A8" t="s">
        <v>78</v>
      </c>
      <c r="B8">
        <f>ROUND(Projections!D7 * Inputs!B25,0)</f>
        <v>4</v>
      </c>
      <c r="C8">
        <f>ROUND(Projections!D7 * Inputs!B10,0)</f>
        <v>3</v>
      </c>
      <c r="D8">
        <f>Projections!D7 + B8 - C8</f>
        <v>53</v>
      </c>
      <c r="G8">
        <f t="shared" si="0"/>
        <v>53</v>
      </c>
      <c r="H8">
        <f>E8*Inputs!B12 + F8*Inputs!B13 + G8*Inputs!B14</f>
        <v>3445000</v>
      </c>
      <c r="I8">
        <f>Inputs!B30 * Inputs!B27</f>
        <v>625000</v>
      </c>
      <c r="J8">
        <f>ROUND((H8 + I8) * Inputs!B8,0)</f>
        <v>122100</v>
      </c>
      <c r="K8">
        <f>ROUND(H8 * Inputs!B21,0)</f>
        <v>689000</v>
      </c>
      <c r="L8">
        <f>ROUND(I8 * Inputs!B21,0)</f>
        <v>125000</v>
      </c>
      <c r="M8">
        <f t="shared" si="1"/>
        <v>814000</v>
      </c>
      <c r="N8">
        <f>Inputs!B30 * Inputs!B26</f>
        <v>304000</v>
      </c>
      <c r="O8">
        <f>(H8 + I8) - (Totals!$B$1 + J8 + N8 + V8)</f>
        <v>3425635</v>
      </c>
      <c r="P8">
        <f t="shared" si="2"/>
        <v>2611635</v>
      </c>
      <c r="Q8">
        <f t="shared" si="4"/>
        <v>19110000</v>
      </c>
      <c r="R8">
        <f t="shared" si="5"/>
        <v>4697000</v>
      </c>
      <c r="S8">
        <f>E8 * Inputs!$B$18</f>
        <v>0</v>
      </c>
      <c r="T8">
        <f>F8 * Inputs!$B$19</f>
        <v>0</v>
      </c>
      <c r="U8">
        <f>G8 * Inputs!$B$20</f>
        <v>265</v>
      </c>
      <c r="V8">
        <f t="shared" si="3"/>
        <v>265</v>
      </c>
      <c r="W8">
        <f>ROUND(V8 * Inputs!$B$33,0)</f>
        <v>938</v>
      </c>
    </row>
    <row r="9" spans="1:23" x14ac:dyDescent="0.25">
      <c r="A9" t="s">
        <v>79</v>
      </c>
      <c r="B9">
        <f>ROUND(Projections!D8 * Inputs!B25,0)</f>
        <v>4</v>
      </c>
      <c r="C9">
        <f>ROUND(Projections!D8 * Inputs!B10,0)</f>
        <v>3</v>
      </c>
      <c r="D9">
        <f>Projections!D8 + B9 - C9</f>
        <v>54</v>
      </c>
      <c r="G9">
        <f t="shared" si="0"/>
        <v>54</v>
      </c>
      <c r="H9">
        <f>E9*Inputs!B12 + F9*Inputs!B13 + G9*Inputs!B14</f>
        <v>3510000</v>
      </c>
      <c r="I9">
        <f>Inputs!B30 * Inputs!B27</f>
        <v>625000</v>
      </c>
      <c r="J9">
        <f>ROUND((H9 + I9) * Inputs!B8,0)</f>
        <v>124050</v>
      </c>
      <c r="K9">
        <f>ROUND(H9 * Inputs!B21,0)</f>
        <v>702000</v>
      </c>
      <c r="L9">
        <f>ROUND(I9 * Inputs!B21,0)</f>
        <v>125000</v>
      </c>
      <c r="M9">
        <f t="shared" si="1"/>
        <v>827000</v>
      </c>
      <c r="N9">
        <f>Inputs!B30 * Inputs!B26</f>
        <v>304000</v>
      </c>
      <c r="O9">
        <f>(H9 + I9) - (Totals!$B$1 + J9 + N9 + V9)</f>
        <v>3488680</v>
      </c>
      <c r="P9">
        <f t="shared" si="2"/>
        <v>2661680</v>
      </c>
      <c r="Q9">
        <f t="shared" si="4"/>
        <v>22620000</v>
      </c>
      <c r="R9">
        <f t="shared" si="5"/>
        <v>5524000</v>
      </c>
      <c r="S9">
        <f>E9 * Inputs!$B$18</f>
        <v>0</v>
      </c>
      <c r="T9">
        <f>F9 * Inputs!$B$19</f>
        <v>0</v>
      </c>
      <c r="U9">
        <f>G9 * Inputs!$B$20</f>
        <v>270</v>
      </c>
      <c r="V9">
        <f t="shared" si="3"/>
        <v>270</v>
      </c>
      <c r="W9">
        <f>ROUND(V9 * Inputs!$B$33,0)</f>
        <v>956</v>
      </c>
    </row>
    <row r="10" spans="1:23" x14ac:dyDescent="0.25">
      <c r="A10" t="s">
        <v>80</v>
      </c>
      <c r="B10">
        <f>ROUND(Projections!D9 * Inputs!B25,0)</f>
        <v>4</v>
      </c>
      <c r="C10">
        <f>ROUND(Projections!D9 * Inputs!B10,0)</f>
        <v>3</v>
      </c>
      <c r="D10">
        <f>Projections!D9 + B10 - C10</f>
        <v>55</v>
      </c>
      <c r="G10">
        <f t="shared" si="0"/>
        <v>55</v>
      </c>
      <c r="H10">
        <f>E10*Inputs!B12 + F10*Inputs!B13 + G10*Inputs!B14</f>
        <v>3575000</v>
      </c>
      <c r="I10">
        <f>Inputs!B30 * Inputs!B27</f>
        <v>625000</v>
      </c>
      <c r="J10">
        <f>ROUND((H10 + I10) * Inputs!B8,0)</f>
        <v>126000</v>
      </c>
      <c r="K10">
        <f>ROUND(H10 * Inputs!B21,0)</f>
        <v>715000</v>
      </c>
      <c r="L10">
        <f>ROUND(I10 * Inputs!B21,0)</f>
        <v>125000</v>
      </c>
      <c r="M10">
        <f t="shared" si="1"/>
        <v>840000</v>
      </c>
      <c r="N10">
        <f>Inputs!B30 * Inputs!B26</f>
        <v>304000</v>
      </c>
      <c r="O10">
        <f>(H10 + I10) - (Totals!$B$1 + J10 + N10 + V10)</f>
        <v>3551725</v>
      </c>
      <c r="P10">
        <f t="shared" si="2"/>
        <v>2711725</v>
      </c>
      <c r="Q10">
        <f t="shared" si="4"/>
        <v>26195000</v>
      </c>
      <c r="R10">
        <f t="shared" si="5"/>
        <v>6364000</v>
      </c>
      <c r="S10">
        <f>E10 * Inputs!$B$18</f>
        <v>0</v>
      </c>
      <c r="T10">
        <f>F10 * Inputs!$B$19</f>
        <v>0</v>
      </c>
      <c r="U10">
        <f>G10 * Inputs!$B$20</f>
        <v>275</v>
      </c>
      <c r="V10">
        <f t="shared" si="3"/>
        <v>275</v>
      </c>
      <c r="W10">
        <f>ROUND(V10 * Inputs!$B$33,0)</f>
        <v>974</v>
      </c>
    </row>
    <row r="11" spans="1:23" x14ac:dyDescent="0.25">
      <c r="A11" t="s">
        <v>81</v>
      </c>
      <c r="B11">
        <f>ROUND(Projections!D10 * Inputs!B25,0)</f>
        <v>4</v>
      </c>
      <c r="C11">
        <f>ROUND(Projections!D10 * Inputs!B10,0)</f>
        <v>3</v>
      </c>
      <c r="D11">
        <f>Projections!D10 + B11 - C11</f>
        <v>56</v>
      </c>
      <c r="G11">
        <f t="shared" si="0"/>
        <v>56</v>
      </c>
      <c r="H11">
        <f>E11*Inputs!B12 + F11*Inputs!B13 + G11*Inputs!B14</f>
        <v>3640000</v>
      </c>
      <c r="I11">
        <f>Inputs!B30 * Inputs!B27</f>
        <v>625000</v>
      </c>
      <c r="J11">
        <f>ROUND((H11 + I11) * Inputs!B8,0)</f>
        <v>127950</v>
      </c>
      <c r="K11">
        <f>ROUND(H11 * Inputs!B21,0)</f>
        <v>728000</v>
      </c>
      <c r="L11">
        <f>ROUND(I11 * Inputs!B21,0)</f>
        <v>125000</v>
      </c>
      <c r="M11">
        <f t="shared" si="1"/>
        <v>853000</v>
      </c>
      <c r="N11">
        <f>Inputs!B30 * Inputs!B26</f>
        <v>304000</v>
      </c>
      <c r="O11">
        <f>(H11 + I11) - (Totals!$B$1 + J11 + N11 + V11)</f>
        <v>3614770</v>
      </c>
      <c r="P11">
        <f t="shared" si="2"/>
        <v>2761770</v>
      </c>
      <c r="Q11">
        <f t="shared" si="4"/>
        <v>29835000</v>
      </c>
      <c r="R11">
        <f t="shared" si="5"/>
        <v>7217000</v>
      </c>
      <c r="S11">
        <f>E11 * Inputs!$B$18</f>
        <v>0</v>
      </c>
      <c r="T11">
        <f>F11 * Inputs!$B$19</f>
        <v>0</v>
      </c>
      <c r="U11">
        <f>G11 * Inputs!$B$20</f>
        <v>280</v>
      </c>
      <c r="V11">
        <f t="shared" si="3"/>
        <v>280</v>
      </c>
      <c r="W11">
        <f>ROUND(V11 * Inputs!$B$33,0)</f>
        <v>991</v>
      </c>
    </row>
    <row r="12" spans="1:23" x14ac:dyDescent="0.25">
      <c r="A12" t="s">
        <v>82</v>
      </c>
      <c r="B12">
        <f>ROUND(Projections!D11 * Inputs!B25,0)</f>
        <v>4</v>
      </c>
      <c r="C12">
        <f>ROUND(Projections!D11 * Inputs!B10,0)</f>
        <v>3</v>
      </c>
      <c r="D12">
        <f>Projections!D11 + B12 - C12</f>
        <v>57</v>
      </c>
      <c r="G12">
        <f t="shared" si="0"/>
        <v>57</v>
      </c>
      <c r="H12">
        <f>E12*Inputs!B12 + F12*Inputs!B13 + G12*Inputs!B14</f>
        <v>3705000</v>
      </c>
      <c r="I12">
        <f>Inputs!B30 * Inputs!B27</f>
        <v>625000</v>
      </c>
      <c r="J12">
        <f>ROUND((H12 + I12) * Inputs!B8,0)</f>
        <v>129900</v>
      </c>
      <c r="K12">
        <f>ROUND(H12 * Inputs!B21,0)</f>
        <v>741000</v>
      </c>
      <c r="L12">
        <f>ROUND(I12 * Inputs!B21,0)</f>
        <v>125000</v>
      </c>
      <c r="M12">
        <f t="shared" si="1"/>
        <v>866000</v>
      </c>
      <c r="N12">
        <f>Inputs!B30 * Inputs!B26</f>
        <v>304000</v>
      </c>
      <c r="O12">
        <f>(H12 + I12) - (Totals!$B$1 + J12 + N12 + V12)</f>
        <v>3677815</v>
      </c>
      <c r="P12">
        <f t="shared" si="2"/>
        <v>2811815</v>
      </c>
      <c r="Q12">
        <f t="shared" si="4"/>
        <v>33540000</v>
      </c>
      <c r="R12">
        <f t="shared" si="5"/>
        <v>8083000</v>
      </c>
      <c r="S12">
        <f>E12 * Inputs!$B$18</f>
        <v>0</v>
      </c>
      <c r="T12">
        <f>F12 * Inputs!$B$19</f>
        <v>0</v>
      </c>
      <c r="U12">
        <f>G12 * Inputs!$B$20</f>
        <v>285</v>
      </c>
      <c r="V12">
        <f t="shared" si="3"/>
        <v>285</v>
      </c>
      <c r="W12">
        <f>ROUND(V12 * Inputs!$B$33,0)</f>
        <v>1009</v>
      </c>
    </row>
    <row r="13" spans="1:23" x14ac:dyDescent="0.25">
      <c r="A13" t="s">
        <v>83</v>
      </c>
      <c r="B13">
        <f>ROUND(Projections!D12 * Inputs!B25,0)</f>
        <v>4</v>
      </c>
      <c r="C13">
        <f>ROUND(Projections!D12 * Inputs!B10,0)</f>
        <v>3</v>
      </c>
      <c r="D13">
        <f>Projections!D12 + B13 - C13</f>
        <v>58</v>
      </c>
      <c r="G13">
        <f t="shared" si="0"/>
        <v>58</v>
      </c>
      <c r="H13">
        <f>E13*Inputs!B12 + F13*Inputs!B13 + G13*Inputs!B14</f>
        <v>3770000</v>
      </c>
      <c r="I13">
        <f>Inputs!B30 * Inputs!B27</f>
        <v>625000</v>
      </c>
      <c r="J13">
        <f>ROUND((H13 + I13) * Inputs!B8,0)</f>
        <v>131850</v>
      </c>
      <c r="K13">
        <f>ROUND(H13 * Inputs!B21,0)</f>
        <v>754000</v>
      </c>
      <c r="L13">
        <f>ROUND(I13 * Inputs!B21,0)</f>
        <v>125000</v>
      </c>
      <c r="M13">
        <f t="shared" si="1"/>
        <v>879000</v>
      </c>
      <c r="N13">
        <f>Inputs!B30 * Inputs!B26</f>
        <v>304000</v>
      </c>
      <c r="O13">
        <f>(H13 + I13) - (Totals!$B$1 + J13 + N13 + V13)</f>
        <v>3740860</v>
      </c>
      <c r="P13">
        <f t="shared" si="2"/>
        <v>2861860</v>
      </c>
      <c r="Q13">
        <f t="shared" si="4"/>
        <v>37310000</v>
      </c>
      <c r="R13">
        <f t="shared" si="5"/>
        <v>8962000</v>
      </c>
      <c r="S13">
        <f>E13 * Inputs!$B$18</f>
        <v>0</v>
      </c>
      <c r="T13">
        <f>F13 * Inputs!$B$19</f>
        <v>0</v>
      </c>
      <c r="U13">
        <f>G13 * Inputs!$B$20</f>
        <v>290</v>
      </c>
      <c r="V13">
        <f t="shared" si="3"/>
        <v>290</v>
      </c>
      <c r="W13">
        <f>ROUND(V13 * Inputs!$B$33,0)</f>
        <v>1027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activeCell="A18" sqref="A18"/>
    </sheetView>
  </sheetViews>
  <sheetFormatPr defaultRowHeight="15" x14ac:dyDescent="0.25"/>
  <sheetData>
    <row r="1" spans="1:2" x14ac:dyDescent="0.25">
      <c r="A1" t="s">
        <v>49</v>
      </c>
      <c r="B1" t="s">
        <v>84</v>
      </c>
    </row>
    <row r="2" spans="1:2" x14ac:dyDescent="0.25">
      <c r="A2" t="s">
        <v>72</v>
      </c>
      <c r="B2">
        <f>0</f>
        <v>0</v>
      </c>
    </row>
    <row r="3" spans="1:2" x14ac:dyDescent="0.25">
      <c r="A3" t="s">
        <v>73</v>
      </c>
      <c r="B3">
        <f>IF(Projections!D2&gt;0, Projections!C3 / Projections!D2, 0)</f>
        <v>0.1</v>
      </c>
    </row>
    <row r="4" spans="1:2" x14ac:dyDescent="0.25">
      <c r="A4" t="s">
        <v>74</v>
      </c>
      <c r="B4">
        <f>IF(Projections!D3&gt;0, Projections!C4 / Projections!D3, 0)</f>
        <v>3.4482758620689655E-2</v>
      </c>
    </row>
    <row r="5" spans="1:2" x14ac:dyDescent="0.25">
      <c r="A5" t="s">
        <v>75</v>
      </c>
      <c r="B5">
        <f>IF(Projections!D4&gt;0, Projections!C5 / Projections!D4, 0)</f>
        <v>4.0816326530612242E-2</v>
      </c>
    </row>
    <row r="6" spans="1:2" x14ac:dyDescent="0.25">
      <c r="A6" t="s">
        <v>76</v>
      </c>
      <c r="B6">
        <f>IF(Projections!D5&gt;0, Projections!C6 / Projections!D5, 0)</f>
        <v>0.06</v>
      </c>
    </row>
    <row r="7" spans="1:2" x14ac:dyDescent="0.25">
      <c r="A7" t="s">
        <v>77</v>
      </c>
      <c r="B7">
        <f>IF(Projections!D6&gt;0, Projections!C7 / Projections!D6, 0)</f>
        <v>5.8823529411764705E-2</v>
      </c>
    </row>
    <row r="8" spans="1:2" x14ac:dyDescent="0.25">
      <c r="A8" t="s">
        <v>78</v>
      </c>
      <c r="B8">
        <f>IF(Projections!D7&gt;0, Projections!C8 / Projections!D7, 0)</f>
        <v>5.7692307692307696E-2</v>
      </c>
    </row>
    <row r="9" spans="1:2" x14ac:dyDescent="0.25">
      <c r="A9" t="s">
        <v>79</v>
      </c>
      <c r="B9">
        <f>IF(Projections!D8&gt;0, Projections!C9 / Projections!D8, 0)</f>
        <v>5.6603773584905662E-2</v>
      </c>
    </row>
    <row r="10" spans="1:2" x14ac:dyDescent="0.25">
      <c r="A10" t="s">
        <v>80</v>
      </c>
      <c r="B10">
        <f>IF(Projections!D9&gt;0, Projections!C10 / Projections!D9, 0)</f>
        <v>5.5555555555555552E-2</v>
      </c>
    </row>
    <row r="11" spans="1:2" x14ac:dyDescent="0.25">
      <c r="A11" t="s">
        <v>81</v>
      </c>
      <c r="B11">
        <f>IF(Projections!D10&gt;0, Projections!C11 / Projections!D10, 0)</f>
        <v>5.4545454545454543E-2</v>
      </c>
    </row>
    <row r="12" spans="1:2" x14ac:dyDescent="0.25">
      <c r="A12" t="s">
        <v>82</v>
      </c>
      <c r="B12">
        <f>IF(Projections!D11&gt;0, Projections!C12 / Projections!D11, 0)</f>
        <v>5.3571428571428568E-2</v>
      </c>
    </row>
    <row r="13" spans="1:2" x14ac:dyDescent="0.25">
      <c r="A13" t="s">
        <v>83</v>
      </c>
      <c r="B13">
        <f>IF(Projections!D12&gt;0, Projections!C13 / Projections!D12, 0)</f>
        <v>5.2631578947368418E-2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</vt:lpstr>
      <vt:lpstr>Totals</vt:lpstr>
      <vt:lpstr>Plans</vt:lpstr>
      <vt:lpstr>Projections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happi olivier</cp:lastModifiedBy>
  <dcterms:created xsi:type="dcterms:W3CDTF">2025-08-10T06:39:47Z</dcterms:created>
  <dcterms:modified xsi:type="dcterms:W3CDTF">2025-08-10T11:11:12Z</dcterms:modified>
</cp:coreProperties>
</file>