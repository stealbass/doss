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Lenovo T580\Downloads\"/>
    </mc:Choice>
  </mc:AlternateContent>
  <xr:revisionPtr revIDLastSave="0" documentId="13_ncr:1_{F01EE293-0AB0-4E33-8488-DFE28219C9FC}" xr6:coauthVersionLast="47" xr6:coauthVersionMax="47" xr10:uidLastSave="{00000000-0000-0000-0000-000000000000}"/>
  <bookViews>
    <workbookView xWindow="-108" yWindow="-108" windowWidth="23256" windowHeight="12456" firstSheet="7" activeTab="14" xr2:uid="{00000000-000D-0000-FFFF-FFFF00000000}"/>
  </bookViews>
  <sheets>
    <sheet name="Tableau de bord" sheetId="1" r:id="rId1"/>
    <sheet name="01_Janvier" sheetId="3" r:id="rId2"/>
    <sheet name="02_Février" sheetId="4" r:id="rId3"/>
    <sheet name="03_Mars" sheetId="5" r:id="rId4"/>
    <sheet name="04_Avril" sheetId="6" r:id="rId5"/>
    <sheet name="05_Mai" sheetId="7" r:id="rId6"/>
    <sheet name="06_Juin" sheetId="8" r:id="rId7"/>
    <sheet name="07_Juillet" sheetId="9" r:id="rId8"/>
    <sheet name="08_Août" sheetId="10" r:id="rId9"/>
    <sheet name="09_Septembre" sheetId="11" r:id="rId10"/>
    <sheet name="10_Octobre" sheetId="12" r:id="rId11"/>
    <sheet name="11_Novembre" sheetId="13" r:id="rId12"/>
    <sheet name="12_Décembre" sheetId="14" r:id="rId13"/>
    <sheet name="Paramètres" sheetId="2" r:id="rId14"/>
    <sheet name="Calcul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5" l="1"/>
  <c r="E12" i="15"/>
  <c r="C9" i="15"/>
  <c r="B11" i="15"/>
  <c r="A13" i="15"/>
  <c r="I9" i="15"/>
  <c r="H11" i="15"/>
  <c r="H12" i="15"/>
  <c r="G10" i="15"/>
  <c r="A12" i="15"/>
  <c r="J13" i="15"/>
  <c r="H10" i="15"/>
  <c r="G12" i="15"/>
  <c r="E9" i="15"/>
  <c r="D11" i="15"/>
  <c r="J9" i="15"/>
  <c r="H13" i="15"/>
  <c r="E11" i="15"/>
  <c r="D9" i="15"/>
  <c r="G11" i="15"/>
  <c r="F13" i="15"/>
  <c r="D10" i="15"/>
  <c r="C12" i="15"/>
  <c r="A9" i="15"/>
  <c r="J10" i="15"/>
  <c r="B13" i="15"/>
  <c r="F9" i="15"/>
  <c r="B10" i="15"/>
  <c r="C11" i="15"/>
  <c r="I10" i="15"/>
  <c r="G13" i="15"/>
  <c r="E10" i="15"/>
  <c r="D12" i="15"/>
  <c r="B9" i="15"/>
  <c r="A11" i="15"/>
  <c r="J12" i="15"/>
  <c r="H9" i="15"/>
  <c r="A10" i="15"/>
  <c r="J11" i="15"/>
  <c r="I13" i="15"/>
  <c r="C13" i="15"/>
  <c r="I12" i="15"/>
  <c r="G9" i="15"/>
  <c r="F11" i="15"/>
  <c r="E13" i="15"/>
  <c r="C10" i="15"/>
  <c r="B12" i="15"/>
  <c r="I11" i="15"/>
  <c r="F10" i="15"/>
  <c r="D13" i="15"/>
  <c r="F12" i="15"/>
  <c r="B28" i="15" l="1"/>
  <c r="B26" i="15"/>
  <c r="B29" i="15"/>
  <c r="B27" i="15"/>
  <c r="B17" i="15"/>
  <c r="C25" i="15" s="1"/>
  <c r="I19" i="15"/>
  <c r="I20" i="15"/>
  <c r="I18" i="15"/>
  <c r="I21" i="15"/>
  <c r="I17" i="15"/>
  <c r="H19" i="15"/>
  <c r="H20" i="15"/>
  <c r="H21" i="15"/>
  <c r="H18" i="15"/>
  <c r="H17" i="15"/>
  <c r="G21" i="15"/>
  <c r="G18" i="15"/>
  <c r="G19" i="15"/>
  <c r="G20" i="15"/>
  <c r="G17" i="15"/>
  <c r="F21" i="15"/>
  <c r="F18" i="15"/>
  <c r="F20" i="15"/>
  <c r="F19" i="15"/>
  <c r="F17" i="15"/>
  <c r="E21" i="15"/>
  <c r="E19" i="15"/>
  <c r="E20" i="15"/>
  <c r="E18" i="15"/>
  <c r="E17" i="15"/>
  <c r="D21" i="15"/>
  <c r="E29" i="15" s="1"/>
  <c r="D20" i="15"/>
  <c r="E28" i="15" s="1"/>
  <c r="D19" i="15"/>
  <c r="E27" i="15" s="1"/>
  <c r="D18" i="15"/>
  <c r="E26" i="15" s="1"/>
  <c r="D17" i="15"/>
  <c r="E25" i="15" s="1"/>
  <c r="C21" i="15"/>
  <c r="D29" i="15" s="1"/>
  <c r="C20" i="15"/>
  <c r="D28" i="15" s="1"/>
  <c r="C18" i="15"/>
  <c r="D26" i="15" s="1"/>
  <c r="C19" i="15"/>
  <c r="D27" i="15" s="1"/>
  <c r="D11" i="1"/>
  <c r="E11" i="1"/>
  <c r="C11" i="1"/>
  <c r="I11" i="1"/>
  <c r="F11" i="1"/>
  <c r="B11" i="1"/>
  <c r="G11" i="1"/>
  <c r="B21" i="15"/>
  <c r="C29" i="15" s="1"/>
  <c r="A29" i="15"/>
  <c r="I9" i="1"/>
  <c r="B10" i="1"/>
  <c r="C8" i="1"/>
  <c r="I10" i="1"/>
  <c r="D10" i="1"/>
  <c r="E8" i="1"/>
  <c r="I8" i="1"/>
  <c r="C9" i="1"/>
  <c r="B8" i="1"/>
  <c r="C10" i="1"/>
  <c r="D8" i="1"/>
  <c r="F9" i="1"/>
  <c r="E9" i="1"/>
  <c r="D9" i="1"/>
  <c r="F10" i="1"/>
  <c r="G8" i="1"/>
  <c r="F8" i="1"/>
  <c r="G10" i="1"/>
  <c r="G9" i="1"/>
  <c r="B9" i="1"/>
  <c r="E10" i="1"/>
  <c r="I7" i="1"/>
  <c r="G7" i="1"/>
  <c r="F7" i="1"/>
  <c r="D7" i="1"/>
  <c r="E7" i="1"/>
  <c r="C7" i="1"/>
  <c r="B7" i="1"/>
  <c r="C17" i="15"/>
  <c r="D25" i="15" s="1"/>
  <c r="B18" i="15"/>
  <c r="C26" i="15" s="1"/>
  <c r="B20" i="15"/>
  <c r="C28" i="15" s="1"/>
  <c r="B19" i="15"/>
  <c r="C27" i="15" s="1"/>
  <c r="A17" i="15"/>
  <c r="A25" i="15"/>
  <c r="A27" i="15"/>
  <c r="A19" i="15"/>
  <c r="B25" i="15"/>
  <c r="A26" i="15"/>
  <c r="A18" i="15"/>
  <c r="A20" i="15"/>
  <c r="A28" i="15"/>
  <c r="A21" i="15"/>
  <c r="H7" i="1" l="1"/>
  <c r="N11" i="1"/>
  <c r="N14" i="1"/>
  <c r="N12" i="1"/>
  <c r="N9" i="1"/>
  <c r="N10" i="1"/>
  <c r="N8" i="1"/>
  <c r="J21" i="15" l="1"/>
  <c r="F29" i="15" s="1"/>
  <c r="G29" i="15" s="1"/>
  <c r="H11" i="1"/>
  <c r="J18" i="15"/>
  <c r="F26" i="15" s="1"/>
  <c r="G26" i="15" s="1"/>
  <c r="H8" i="1"/>
  <c r="J20" i="15"/>
  <c r="F28" i="15" s="1"/>
  <c r="G28" i="15" s="1"/>
  <c r="H10" i="1"/>
  <c r="J19" i="15"/>
  <c r="F27" i="15" s="1"/>
  <c r="G27" i="15" s="1"/>
  <c r="H9" i="1"/>
  <c r="J17" i="15"/>
  <c r="N13" i="1" l="1"/>
  <c r="F25" i="15"/>
  <c r="G25" i="15" s="1"/>
  <c r="J8" i="1" l="1"/>
  <c r="J11" i="1"/>
  <c r="J9" i="1"/>
  <c r="J10" i="1"/>
  <c r="J7" i="1"/>
</calcChain>
</file>

<file path=xl/sharedStrings.xml><?xml version="1.0" encoding="utf-8"?>
<sst xmlns="http://schemas.openxmlformats.org/spreadsheetml/2006/main" count="277" uniqueCount="86">
  <si>
    <t>TABLEAU DE BORD - Calcul Salaires Commerciaux</t>
  </si>
  <si>
    <t>Sélectionner le mois :</t>
  </si>
  <si>
    <t>Janvier</t>
  </si>
  <si>
    <t>Données du mois sélectionné :</t>
  </si>
  <si>
    <t>Employé</t>
  </si>
  <si>
    <t>Salaire Ref</t>
  </si>
  <si>
    <t>Appels</t>
  </si>
  <si>
    <t>RDV</t>
  </si>
  <si>
    <t>Abonnements</t>
  </si>
  <si>
    <t>Site</t>
  </si>
  <si>
    <t>Archivage</t>
  </si>
  <si>
    <t>Bonus ajusté</t>
  </si>
  <si>
    <t>Pénalités</t>
  </si>
  <si>
    <t>Salaire Net</t>
  </si>
  <si>
    <t>Composante</t>
  </si>
  <si>
    <t>Total</t>
  </si>
  <si>
    <t>Marie Martin</t>
  </si>
  <si>
    <t>Pierre Durand</t>
  </si>
  <si>
    <t>Sophie Leroy</t>
  </si>
  <si>
    <t>Michel Bernard</t>
  </si>
  <si>
    <t>INSTRUCTIONS D'UTILISATION:</t>
  </si>
  <si>
    <t>PARAMÈTRES CONFIGURABLES:</t>
  </si>
  <si>
    <t>1. Sélectionnez le mois souhaité dans la liste déroulante (B3)</t>
  </si>
  <si>
    <t>• Modifiez l'onglet 'Paramètres' pour ajuster:</t>
  </si>
  <si>
    <t>2. Les graphiques et données se mettent à jour automatiquement</t>
  </si>
  <si>
    <t xml:space="preserve">  - Objectifs d'appels, RDV, abonnements</t>
  </si>
  <si>
    <t>3. Utilisez les onglets mensuels pour saisir les performances</t>
  </si>
  <si>
    <t xml:space="preserve">  - Pourcentages de bonus et pénalités</t>
  </si>
  <si>
    <t>4. Les validations empêchent la saisie de données incorrectes</t>
  </si>
  <si>
    <t>Graphique 2: Répartition des composantes</t>
  </si>
  <si>
    <t>5. L'onglet Calculs contient toutes les formules automatisées</t>
  </si>
  <si>
    <t>Paramètres – Objectifs et règles</t>
  </si>
  <si>
    <t>Libellé</t>
  </si>
  <si>
    <t>Valeur</t>
  </si>
  <si>
    <t>Appels requis / mois</t>
  </si>
  <si>
    <t>Seuil minimum d'appels pour prime</t>
  </si>
  <si>
    <t>RDV honorés requis / mois</t>
  </si>
  <si>
    <t>Abonnements requis / mois</t>
  </si>
  <si>
    <t>Pondération abonnement mensuel</t>
  </si>
  <si>
    <t>Bonus full package (% du salaire)</t>
  </si>
  <si>
    <t>Pénalité absence non justifiée (%/jour)</t>
  </si>
  <si>
    <t>Pénalité absence réunion (%/absence)</t>
  </si>
  <si>
    <t>Nom</t>
  </si>
  <si>
    <t>Salaire de référence</t>
  </si>
  <si>
    <t>RDV honorés</t>
  </si>
  <si>
    <t>Abonnements annuels</t>
  </si>
  <si>
    <t>Abonnements mensuels</t>
  </si>
  <si>
    <t>Ventes Site web</t>
  </si>
  <si>
    <t>Ventes Archivage</t>
  </si>
  <si>
    <t>Absences non justifiées (jours)</t>
  </si>
  <si>
    <t>Absences réunions (nb)</t>
  </si>
  <si>
    <t>INSTRUCTIONS: Sélectionnez un mois dans la liste déroulante B5 pour voir les calculs automatiques</t>
  </si>
  <si>
    <t>CALCUL DE SALAIRES COMMERCIAUX - SÉLECTEUR DE MOIS</t>
  </si>
  <si>
    <t>SÉLECTION DU MOIS</t>
  </si>
  <si>
    <t>Mois sélectionné:</t>
  </si>
  <si>
    <t>CALCULS DÉTAILLÉS</t>
  </si>
  <si>
    <t>% Appels</t>
  </si>
  <si>
    <t>% RDV</t>
  </si>
  <si>
    <t>% Abonnements</t>
  </si>
  <si>
    <t>Bonus Site</t>
  </si>
  <si>
    <t>Bonus Archivage</t>
  </si>
  <si>
    <t>Bonus Full</t>
  </si>
  <si>
    <t>Pénalités Abs</t>
  </si>
  <si>
    <t>Pénalités Réun</t>
  </si>
  <si>
    <t>TOTAL Bonus/Pén</t>
  </si>
  <si>
    <t>SALAIRES FINAUX</t>
  </si>
  <si>
    <t>Salaire de Base</t>
  </si>
  <si>
    <t>Prime Appels</t>
  </si>
  <si>
    <t>Prime RDV</t>
  </si>
  <si>
    <t>Prime Abonnements</t>
  </si>
  <si>
    <t>Total Bonus/Pén</t>
  </si>
  <si>
    <t>SALAIRE NET</t>
  </si>
  <si>
    <t>NOTE: Les calculs sont basés sur les paramètres définis dans l'onglet 'Paramètres'</t>
  </si>
  <si>
    <t>Ekobo Berthe</t>
  </si>
  <si>
    <t>Performances commerciales - Janvier 2025</t>
  </si>
  <si>
    <t>Performances commerciales - Février 2025</t>
  </si>
  <si>
    <t>Performances commerciales - Mars 2025</t>
  </si>
  <si>
    <t>Performances commerciales - Avril 2025</t>
  </si>
  <si>
    <t>Performances commerciales - Décembre 2025</t>
  </si>
  <si>
    <t>Performances commerciales - Novembre 2025</t>
  </si>
  <si>
    <t>Performances commerciales - Octobre 2025</t>
  </si>
  <si>
    <t>Performances commerciales - Septembre 2025</t>
  </si>
  <si>
    <t>Performances commerciales - Août 2025</t>
  </si>
  <si>
    <t>Performances commerciales - Juillet 2025</t>
  </si>
  <si>
    <t>Performances commerciales - Juin 2025</t>
  </si>
  <si>
    <t>Performances commerciales - Mai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</si>
</sst>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&quot; FCFA&quot;"/>
  </numFmts>
  <fonts count="18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6"/>
      <name val="Calibri"/>
    </font>
    <font>
      <b/>
      <sz val="12"/>
      <name val="Calibri"/>
    </font>
    <font>
      <sz val="12"/>
      <name val="Calibri"/>
    </font>
    <font>
      <b/>
      <sz val="12"/>
      <color rgb="FFFF0000"/>
      <name val="Calibri"/>
    </font>
    <font>
      <sz val="10"/>
      <name val="Calibri"/>
    </font>
    <font>
      <b/>
      <sz val="14"/>
      <color rgb="FFFFFFFF"/>
      <name val="Calibri"/>
    </font>
    <font>
      <b/>
      <sz val="12"/>
      <color rgb="FF2F75B5"/>
      <name val="Calibri"/>
    </font>
    <font>
      <sz val="11"/>
      <name val="Calibri"/>
    </font>
    <font>
      <b/>
      <sz val="11"/>
      <name val="Calibri"/>
    </font>
    <font>
      <b/>
      <sz val="10"/>
      <name val="Calibri"/>
    </font>
    <font>
      <b/>
      <sz val="11"/>
      <color rgb="FF2F75B5"/>
      <name val="Calibri"/>
    </font>
    <font>
      <i/>
      <sz val="10"/>
      <color rgb="FF666666"/>
      <name val="Calibri"/>
    </font>
    <font>
      <i/>
      <sz val="9"/>
      <color rgb="FF999999"/>
      <name val="Calibri"/>
    </font>
    <font>
      <b/>
      <sz val="14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2F75B5"/>
        <bgColor rgb="FF2F75B5"/>
      </patternFill>
    </fill>
    <fill>
      <patternFill patternType="solid">
        <fgColor rgb="FFE7F3FF"/>
        <bgColor rgb="FFE7F3FF"/>
      </patternFill>
    </fill>
    <fill>
      <patternFill patternType="solid">
        <fgColor rgb="FFD5E8D4"/>
        <bgColor rgb="FFD5E8D4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165" fontId="17" fillId="0" borderId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2" fillId="2" borderId="1" xfId="0" applyFont="1" applyFill="1" applyBorder="1"/>
    <xf numFmtId="0" fontId="0" fillId="0" borderId="1" xfId="0" applyBorder="1"/>
    <xf numFmtId="0" fontId="2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horizontal="center" vertical="center"/>
    </xf>
    <xf numFmtId="0" fontId="9" fillId="4" borderId="1" xfId="0" applyFont="1" applyFill="1" applyBorder="1"/>
    <xf numFmtId="0" fontId="0" fillId="4" borderId="1" xfId="0" applyFill="1" applyBorder="1"/>
    <xf numFmtId="0" fontId="10" fillId="0" borderId="1" xfId="0" applyFont="1" applyBorder="1"/>
    <xf numFmtId="0" fontId="11" fillId="0" borderId="1" xfId="0" applyFont="1" applyBorder="1" applyProtection="1">
      <protection locked="0"/>
    </xf>
    <xf numFmtId="0" fontId="10" fillId="6" borderId="1" xfId="0" applyFont="1" applyFill="1" applyBorder="1"/>
    <xf numFmtId="0" fontId="9" fillId="0" borderId="0" xfId="0" applyFont="1"/>
    <xf numFmtId="0" fontId="12" fillId="4" borderId="1" xfId="0" applyFont="1" applyFill="1" applyBorder="1" applyAlignment="1">
      <alignment horizontal="center"/>
    </xf>
    <xf numFmtId="0" fontId="0" fillId="6" borderId="0" xfId="0" applyFill="1"/>
    <xf numFmtId="0" fontId="9" fillId="5" borderId="1" xfId="0" applyFont="1" applyFill="1" applyBorder="1"/>
    <xf numFmtId="0" fontId="0" fillId="5" borderId="1" xfId="0" applyFill="1" applyBorder="1"/>
    <xf numFmtId="0" fontId="11" fillId="5" borderId="1" xfId="0" applyFont="1" applyFill="1" applyBorder="1" applyAlignment="1">
      <alignment horizontal="center"/>
    </xf>
    <xf numFmtId="0" fontId="0" fillId="0" borderId="0" xfId="0"/>
    <xf numFmtId="0" fontId="3" fillId="0" borderId="0" xfId="0" applyFont="1"/>
    <xf numFmtId="0" fontId="0" fillId="0" borderId="0" xfId="0"/>
    <xf numFmtId="0" fontId="1" fillId="0" borderId="0" xfId="0" applyFont="1"/>
    <xf numFmtId="0" fontId="14" fillId="0" borderId="0" xfId="0" applyFont="1" applyAlignment="1">
      <alignment horizontal="center"/>
    </xf>
    <xf numFmtId="0" fontId="10" fillId="6" borderId="1" xfId="0" applyNumberFormat="1" applyFont="1" applyFill="1" applyBorder="1"/>
    <xf numFmtId="0" fontId="10" fillId="0" borderId="1" xfId="0" applyNumberFormat="1" applyFont="1" applyBorder="1"/>
    <xf numFmtId="0" fontId="15" fillId="0" borderId="2" xfId="0" applyFont="1" applyBorder="1"/>
    <xf numFmtId="0" fontId="16" fillId="0" borderId="0" xfId="0" applyFont="1"/>
    <xf numFmtId="10" fontId="0" fillId="0" borderId="3" xfId="0" applyNumberFormat="1" applyBorder="1"/>
    <xf numFmtId="165" fontId="17" fillId="0" borderId="0" xfId="1"/>
    <xf numFmtId="165" fontId="13" fillId="6" borderId="1" xfId="0" applyNumberFormat="1" applyFont="1" applyFill="1" applyBorder="1"/>
  </cellXfs>
  <cellStyles count="2">
    <cellStyle name="fcfa3" xfId="1" xr:uid="{E3855525-21C5-4E14-81F2-ED8A1A12BC35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Classement des employés par salaire net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'Tableau de bord'!$J$6</c:f>
              <c:strCache>
                <c:ptCount val="1"/>
                <c:pt idx="0">
                  <c:v>Salaire Net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'Tableau de bord'!$A$7:$A$11</c:f>
              <c:strCache>
                <c:ptCount val="5"/>
                <c:pt idx="0">
                  <c:v>Ekobo Berthe</c:v>
                </c:pt>
                <c:pt idx="1">
                  <c:v>Marie Martin</c:v>
                </c:pt>
                <c:pt idx="2">
                  <c:v>Pierre Durand</c:v>
                </c:pt>
                <c:pt idx="3">
                  <c:v>Sophie Leroy</c:v>
                </c:pt>
                <c:pt idx="4">
                  <c:v>Michel Bernard</c:v>
                </c:pt>
              </c:strCache>
            </c:strRef>
          </c:cat>
          <c:val>
            <c:numRef>
              <c:f>'Tableau de bord'!$J$7:$J$11</c:f>
              <c:numCache>
                <c:formatCode>General</c:formatCode>
                <c:ptCount val="5"/>
                <c:pt idx="0">
                  <c:v>13250</c:v>
                </c:pt>
                <c:pt idx="1">
                  <c:v>28296</c:v>
                </c:pt>
                <c:pt idx="2">
                  <c:v>11848</c:v>
                </c:pt>
                <c:pt idx="3">
                  <c:v>38675</c:v>
                </c:pt>
                <c:pt idx="4">
                  <c:v>17697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0-4D81-A919-BE7796D0F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Employés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Salaire Net (€)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Répartition des composantes salariales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'Tableau de bord'!$N$7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'Tableau de bord'!$M$8:$M$14</c:f>
              <c:strCache>
                <c:ptCount val="7"/>
                <c:pt idx="0">
                  <c:v>Appels</c:v>
                </c:pt>
                <c:pt idx="1">
                  <c:v>RDV</c:v>
                </c:pt>
                <c:pt idx="2">
                  <c:v>Abonnements</c:v>
                </c:pt>
                <c:pt idx="3">
                  <c:v>Site</c:v>
                </c:pt>
                <c:pt idx="4">
                  <c:v>Archivage</c:v>
                </c:pt>
                <c:pt idx="5">
                  <c:v>Bonus ajusté</c:v>
                </c:pt>
                <c:pt idx="6">
                  <c:v>Pénalités</c:v>
                </c:pt>
              </c:strCache>
            </c:strRef>
          </c:cat>
          <c:val>
            <c:numRef>
              <c:f>'Tableau de bord'!$N$8:$N$14</c:f>
              <c:numCache>
                <c:formatCode>General</c:formatCode>
                <c:ptCount val="7"/>
                <c:pt idx="0">
                  <c:v>910</c:v>
                </c:pt>
                <c:pt idx="1">
                  <c:v>76</c:v>
                </c:pt>
                <c:pt idx="2">
                  <c:v>15</c:v>
                </c:pt>
                <c:pt idx="3">
                  <c:v>10</c:v>
                </c:pt>
                <c:pt idx="4">
                  <c:v>7</c:v>
                </c:pt>
                <c:pt idx="5">
                  <c:v>3100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9-4188-B4CA-85D5D53A6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B7" sqref="B7"/>
    </sheetView>
  </sheetViews>
  <sheetFormatPr baseColWidth="10" defaultColWidth="8.88671875" defaultRowHeight="14.4"/>
  <cols>
    <col min="1" max="10" width="12" customWidth="1"/>
    <col min="13" max="13" width="36.5546875" bestFit="1" customWidth="1"/>
  </cols>
  <sheetData>
    <row r="1" spans="1:14" ht="2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4" ht="15.6">
      <c r="A3" s="1" t="s">
        <v>1</v>
      </c>
      <c r="B3" s="2" t="s">
        <v>2</v>
      </c>
    </row>
    <row r="5" spans="1:14" ht="15.6">
      <c r="A5" s="1" t="s">
        <v>3</v>
      </c>
    </row>
    <row r="6" spans="1:14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</row>
    <row r="7" spans="1:14">
      <c r="A7" s="4" t="s">
        <v>73</v>
      </c>
      <c r="B7" s="4">
        <f ca="1">Calculs!B9</f>
        <v>50000</v>
      </c>
      <c r="C7" s="4">
        <f ca="1">Calculs!C9</f>
        <v>100</v>
      </c>
      <c r="D7" s="4">
        <f ca="1">Calculs!D9</f>
        <v>10</v>
      </c>
      <c r="E7" s="4">
        <f ca="1">Calculs!E9</f>
        <v>1</v>
      </c>
      <c r="F7" s="4">
        <f ca="1">Calculs!G9</f>
        <v>0</v>
      </c>
      <c r="G7" s="4">
        <f ca="1">Calculs!H9</f>
        <v>0</v>
      </c>
      <c r="H7" s="4">
        <f ca="1">Calculs!G17</f>
        <v>0</v>
      </c>
      <c r="I7" s="4">
        <f ca="1">Calculs!I9</f>
        <v>0</v>
      </c>
      <c r="J7" s="4">
        <f ca="1">Calculs!G25</f>
        <v>13250</v>
      </c>
      <c r="M7" s="5" t="s">
        <v>14</v>
      </c>
      <c r="N7" s="5" t="s">
        <v>15</v>
      </c>
    </row>
    <row r="8" spans="1:14">
      <c r="A8" s="4" t="s">
        <v>16</v>
      </c>
      <c r="B8" s="4">
        <f ca="1">Calculs!B10</f>
        <v>3200</v>
      </c>
      <c r="C8" s="4">
        <f ca="1">Calculs!C10</f>
        <v>220</v>
      </c>
      <c r="D8" s="4">
        <f ca="1">Calculs!D10</f>
        <v>18</v>
      </c>
      <c r="E8" s="4">
        <f ca="1">Calculs!E10</f>
        <v>4</v>
      </c>
      <c r="F8" s="4">
        <f ca="1">Calculs!G10</f>
        <v>3</v>
      </c>
      <c r="G8" s="4">
        <f ca="1">Calculs!H10</f>
        <v>2</v>
      </c>
      <c r="H8" s="4">
        <f ca="1">Calculs!G18</f>
        <v>800</v>
      </c>
      <c r="I8" s="4">
        <f ca="1">Calculs!I10</f>
        <v>0</v>
      </c>
      <c r="J8" s="4">
        <f ca="1">Calculs!G26</f>
        <v>28296</v>
      </c>
      <c r="M8" s="4" t="s">
        <v>6</v>
      </c>
      <c r="N8" s="4">
        <f ca="1">SUM(C7:C11)</f>
        <v>910</v>
      </c>
    </row>
    <row r="9" spans="1:14">
      <c r="A9" s="4" t="s">
        <v>17</v>
      </c>
      <c r="B9" s="4">
        <f ca="1">Calculs!B11</f>
        <v>2800</v>
      </c>
      <c r="C9" s="4">
        <f ca="1">Calculs!C11</f>
        <v>160</v>
      </c>
      <c r="D9" s="4">
        <f ca="1">Calculs!D11</f>
        <v>12</v>
      </c>
      <c r="E9" s="4">
        <f ca="1">Calculs!E11</f>
        <v>2</v>
      </c>
      <c r="F9" s="4">
        <f ca="1">Calculs!G11</f>
        <v>1</v>
      </c>
      <c r="G9" s="4">
        <f ca="1">Calculs!H11</f>
        <v>1</v>
      </c>
      <c r="H9" s="4">
        <f ca="1">Calculs!G19</f>
        <v>700</v>
      </c>
      <c r="I9" s="4">
        <f ca="1">Calculs!I11</f>
        <v>2</v>
      </c>
      <c r="J9" s="4">
        <f ca="1">Calculs!G27</f>
        <v>11848</v>
      </c>
      <c r="M9" s="4" t="s">
        <v>7</v>
      </c>
      <c r="N9" s="4">
        <f ca="1">SUM(D7:D11)</f>
        <v>76</v>
      </c>
    </row>
    <row r="10" spans="1:14">
      <c r="A10" s="4" t="s">
        <v>18</v>
      </c>
      <c r="B10" s="4">
        <f ca="1">Calculs!B12</f>
        <v>3500</v>
      </c>
      <c r="C10" s="4">
        <f ca="1">Calculs!C12</f>
        <v>240</v>
      </c>
      <c r="D10" s="4">
        <f ca="1">Calculs!D12</f>
        <v>20</v>
      </c>
      <c r="E10" s="4">
        <f ca="1">Calculs!E12</f>
        <v>5</v>
      </c>
      <c r="F10" s="4">
        <f ca="1">Calculs!G12</f>
        <v>4</v>
      </c>
      <c r="G10" s="4">
        <f ca="1">Calculs!H12</f>
        <v>3</v>
      </c>
      <c r="H10" s="4">
        <f ca="1">Calculs!G20</f>
        <v>875</v>
      </c>
      <c r="I10" s="4">
        <f ca="1">Calculs!I12</f>
        <v>0</v>
      </c>
      <c r="J10" s="4">
        <f ca="1">Calculs!G28</f>
        <v>38675</v>
      </c>
      <c r="M10" s="4" t="s">
        <v>8</v>
      </c>
      <c r="N10" s="4">
        <f ca="1">SUM(E7:E11)</f>
        <v>15</v>
      </c>
    </row>
    <row r="11" spans="1:14">
      <c r="A11" s="4" t="s">
        <v>19</v>
      </c>
      <c r="B11" s="4">
        <f ca="1">Calculs!B13</f>
        <v>2900</v>
      </c>
      <c r="C11" s="4">
        <f ca="1">Calculs!C13</f>
        <v>190</v>
      </c>
      <c r="D11" s="4">
        <f ca="1">Calculs!D13</f>
        <v>16</v>
      </c>
      <c r="E11" s="4">
        <f ca="1">Calculs!E13</f>
        <v>3</v>
      </c>
      <c r="F11" s="4">
        <f ca="1">Calculs!G13</f>
        <v>2</v>
      </c>
      <c r="G11" s="4">
        <f ca="1">Calculs!H13</f>
        <v>1</v>
      </c>
      <c r="H11" s="4">
        <f ca="1">Calculs!G21</f>
        <v>725</v>
      </c>
      <c r="I11" s="4">
        <f ca="1">Calculs!I13</f>
        <v>1</v>
      </c>
      <c r="J11" s="4">
        <f ca="1">Calculs!G29</f>
        <v>17697</v>
      </c>
      <c r="M11" s="4" t="s">
        <v>9</v>
      </c>
      <c r="N11" s="4">
        <f ca="1">SUM(F7:F11)</f>
        <v>10</v>
      </c>
    </row>
    <row r="12" spans="1:14">
      <c r="M12" s="4" t="s">
        <v>10</v>
      </c>
      <c r="N12" s="4">
        <f ca="1">SUM(G7:G11)</f>
        <v>7</v>
      </c>
    </row>
    <row r="13" spans="1:14">
      <c r="M13" s="4" t="s">
        <v>11</v>
      </c>
      <c r="N13" s="4">
        <f ca="1">SUM(H7:H11)</f>
        <v>3100</v>
      </c>
    </row>
    <row r="14" spans="1:14">
      <c r="M14" s="4" t="s">
        <v>12</v>
      </c>
      <c r="N14" s="4">
        <f ca="1">SUM(I7:I11)</f>
        <v>3</v>
      </c>
    </row>
    <row r="16" spans="1:14" ht="15.6">
      <c r="A16" s="6" t="s">
        <v>20</v>
      </c>
      <c r="M16" s="6" t="s">
        <v>21</v>
      </c>
    </row>
    <row r="17" spans="1:13">
      <c r="A17" s="7" t="s">
        <v>22</v>
      </c>
      <c r="M17" s="7" t="s">
        <v>23</v>
      </c>
    </row>
    <row r="18" spans="1:13">
      <c r="A18" s="7" t="s">
        <v>24</v>
      </c>
      <c r="M18" s="7" t="s">
        <v>25</v>
      </c>
    </row>
    <row r="19" spans="1:13">
      <c r="A19" s="7" t="s">
        <v>26</v>
      </c>
      <c r="M19" s="7" t="s">
        <v>27</v>
      </c>
    </row>
    <row r="20" spans="1:13" ht="15.6">
      <c r="A20" s="7" t="s">
        <v>28</v>
      </c>
      <c r="G20" s="1" t="s">
        <v>29</v>
      </c>
    </row>
    <row r="21" spans="1:13">
      <c r="A21" s="7" t="s">
        <v>30</v>
      </c>
    </row>
  </sheetData>
  <mergeCells count="1">
    <mergeCell ref="A1:K1"/>
  </mergeCells>
  <dataValidations count="1">
    <dataValidation type="list" errorTitle="Mois invalide" error="Veuillez sélectionner un mois dans la liste" sqref="B3" xr:uid="{00000000-0002-0000-0000-000000000000}">
      <formula1>"Janvier,Février,Mars,Avril,Mai,Juin,Juillet,Août,Septembre,Octobre,Novembre,Décembre"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I4" sqref="I4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74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100</v>
      </c>
      <c r="D3" s="4">
        <v>10</v>
      </c>
      <c r="E3" s="4">
        <v>1</v>
      </c>
      <c r="F3" s="4">
        <v>1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3200</v>
      </c>
      <c r="C4" s="4">
        <v>220</v>
      </c>
      <c r="D4" s="4">
        <v>18</v>
      </c>
      <c r="E4" s="4">
        <v>4</v>
      </c>
      <c r="F4" s="4">
        <v>6</v>
      </c>
      <c r="G4" s="4">
        <v>3</v>
      </c>
      <c r="H4" s="4">
        <v>2</v>
      </c>
      <c r="I4" s="4">
        <v>0</v>
      </c>
      <c r="J4" s="4">
        <v>1</v>
      </c>
    </row>
    <row r="5" spans="1:10">
      <c r="A5" s="4" t="s">
        <v>17</v>
      </c>
      <c r="B5" s="4">
        <v>2800</v>
      </c>
      <c r="C5" s="4">
        <v>160</v>
      </c>
      <c r="D5" s="4">
        <v>12</v>
      </c>
      <c r="E5" s="4">
        <v>2</v>
      </c>
      <c r="F5" s="4">
        <v>3</v>
      </c>
      <c r="G5" s="4">
        <v>1</v>
      </c>
      <c r="H5" s="4">
        <v>1</v>
      </c>
      <c r="I5" s="4">
        <v>2</v>
      </c>
      <c r="J5" s="4">
        <v>1</v>
      </c>
    </row>
    <row r="6" spans="1:10">
      <c r="A6" s="4" t="s">
        <v>18</v>
      </c>
      <c r="B6" s="4">
        <v>3500</v>
      </c>
      <c r="C6" s="4">
        <v>240</v>
      </c>
      <c r="D6" s="4">
        <v>20</v>
      </c>
      <c r="E6" s="4">
        <v>5</v>
      </c>
      <c r="F6" s="4">
        <v>8</v>
      </c>
      <c r="G6" s="4">
        <v>4</v>
      </c>
      <c r="H6" s="4">
        <v>3</v>
      </c>
      <c r="I6" s="4">
        <v>0</v>
      </c>
      <c r="J6" s="4">
        <v>0</v>
      </c>
    </row>
    <row r="7" spans="1:10">
      <c r="A7" s="4" t="s">
        <v>19</v>
      </c>
      <c r="B7" s="4">
        <v>2900</v>
      </c>
      <c r="C7" s="4">
        <v>190</v>
      </c>
      <c r="D7" s="4">
        <v>16</v>
      </c>
      <c r="E7" s="4">
        <v>3</v>
      </c>
      <c r="F7" s="4">
        <v>4</v>
      </c>
      <c r="G7" s="4">
        <v>2</v>
      </c>
      <c r="H7" s="4">
        <v>1</v>
      </c>
      <c r="I7" s="4">
        <v>1</v>
      </c>
      <c r="J7" s="4">
        <v>1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2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200-000001000000}">
      <formula1>1000</formula1>
      <formula2>10000</formula2>
    </dataValidation>
    <dataValidation type="whole" errorTitle="Appels invalides" error="Nombre d'appels entre 0 et 500" sqref="C3:C7" xr:uid="{00000000-0002-0000-0200-000002000000}">
      <formula1>0</formula1>
      <formula2>500</formula2>
    </dataValidation>
    <dataValidation type="whole" errorTitle="RDV invalides" error="Nombre de RDV entre 0 et 50" sqref="D3:D7" xr:uid="{00000000-0002-0000-0200-000003000000}">
      <formula1>0</formula1>
      <formula2>50</formula2>
    </dataValidation>
    <dataValidation type="whole" errorTitle="Abonnements invalides" error="Nombre d'abonnements annuels entre 0 et 20" sqref="E3:E7" xr:uid="{00000000-0002-0000-0200-000004000000}">
      <formula1>0</formula1>
      <formula2>20</formula2>
    </dataValidation>
    <dataValidation type="whole" errorTitle="Abonnements invalides" error="Nombre d'abonnements mensuels entre 0 et 50" sqref="F3:F7" xr:uid="{00000000-0002-0000-0200-000005000000}">
      <formula1>0</formula1>
      <formula2>50</formula2>
    </dataValidation>
    <dataValidation type="whole" errorTitle="Ventes invalides" error="Ventes site web entre 0 et 100" sqref="G3:G7" xr:uid="{00000000-0002-0000-0200-000006000000}">
      <formula1>0</formula1>
      <formula2>100</formula2>
    </dataValidation>
    <dataValidation type="whole" errorTitle="Ventes invalides" error="Ventes archivage entre 0 et 100" sqref="H3:H7" xr:uid="{00000000-0002-0000-0200-000007000000}">
      <formula1>0</formula1>
      <formula2>100</formula2>
    </dataValidation>
    <dataValidation type="whole" errorTitle="Absences invalides" error="Absences non justifiées entre 0 et 10 jours" sqref="I3:I7" xr:uid="{00000000-0002-0000-0200-000008000000}">
      <formula1>0</formula1>
      <formula2>10</formula2>
    </dataValidation>
    <dataValidation type="whole" errorTitle="Absences invalides" error="Absences réunions entre 0 et 20" sqref="J3:J7" xr:uid="{00000000-0002-0000-0200-000009000000}">
      <formula1>0</formula1>
      <formula2>20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A3" sqref="A3:B3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75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3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300-000001000000}">
      <formula1>1000</formula1>
      <formula2>10000</formula2>
    </dataValidation>
    <dataValidation type="whole" errorTitle="Appels invalides" error="Nombre d'appels entre 0 et 500" sqref="C3:C7" xr:uid="{00000000-0002-0000-0300-000002000000}">
      <formula1>0</formula1>
      <formula2>500</formula2>
    </dataValidation>
    <dataValidation type="whole" errorTitle="RDV invalides" error="Nombre de RDV entre 0 et 50" sqref="D3:D7" xr:uid="{00000000-0002-0000-0300-000003000000}">
      <formula1>0</formula1>
      <formula2>50</formula2>
    </dataValidation>
    <dataValidation type="whole" errorTitle="Abonnements invalides" error="Nombre d'abonnements annuels entre 0 et 20" sqref="E3:E7" xr:uid="{00000000-0002-0000-0300-000004000000}">
      <formula1>0</formula1>
      <formula2>20</formula2>
    </dataValidation>
    <dataValidation type="whole" errorTitle="Abonnements invalides" error="Nombre d'abonnements mensuels entre 0 et 50" sqref="F3:F7" xr:uid="{00000000-0002-0000-0300-000005000000}">
      <formula1>0</formula1>
      <formula2>50</formula2>
    </dataValidation>
    <dataValidation type="whole" errorTitle="Ventes invalides" error="Ventes site web entre 0 et 100" sqref="G3:G7" xr:uid="{00000000-0002-0000-0300-000006000000}">
      <formula1>0</formula1>
      <formula2>100</formula2>
    </dataValidation>
    <dataValidation type="whole" errorTitle="Ventes invalides" error="Ventes archivage entre 0 et 100" sqref="H3:H7" xr:uid="{00000000-0002-0000-0300-000007000000}">
      <formula1>0</formula1>
      <formula2>100</formula2>
    </dataValidation>
    <dataValidation type="whole" errorTitle="Absences invalides" error="Absences non justifiées entre 0 et 10 jours" sqref="I3:I7" xr:uid="{00000000-0002-0000-0300-000008000000}">
      <formula1>0</formula1>
      <formula2>10</formula2>
    </dataValidation>
    <dataValidation type="whole" errorTitle="Absences invalides" error="Absences réunions entre 0 et 20" sqref="J3:J7" xr:uid="{00000000-0002-0000-0300-000009000000}">
      <formula1>0</formula1>
      <formula2>20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activeCell="A3" sqref="A3:B3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76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4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400-000001000000}">
      <formula1>1000</formula1>
      <formula2>10000</formula2>
    </dataValidation>
    <dataValidation type="whole" errorTitle="Appels invalides" error="Nombre d'appels entre 0 et 500" sqref="C3:C7" xr:uid="{00000000-0002-0000-0400-000002000000}">
      <formula1>0</formula1>
      <formula2>500</formula2>
    </dataValidation>
    <dataValidation type="whole" errorTitle="RDV invalides" error="Nombre de RDV entre 0 et 50" sqref="D3:D7" xr:uid="{00000000-0002-0000-0400-000003000000}">
      <formula1>0</formula1>
      <formula2>50</formula2>
    </dataValidation>
    <dataValidation type="whole" errorTitle="Abonnements invalides" error="Nombre d'abonnements annuels entre 0 et 20" sqref="E3:E7" xr:uid="{00000000-0002-0000-0400-000004000000}">
      <formula1>0</formula1>
      <formula2>20</formula2>
    </dataValidation>
    <dataValidation type="whole" errorTitle="Abonnements invalides" error="Nombre d'abonnements mensuels entre 0 et 50" sqref="F3:F7" xr:uid="{00000000-0002-0000-0400-000005000000}">
      <formula1>0</formula1>
      <formula2>50</formula2>
    </dataValidation>
    <dataValidation type="whole" errorTitle="Ventes invalides" error="Ventes site web entre 0 et 100" sqref="G3:G7" xr:uid="{00000000-0002-0000-0400-000006000000}">
      <formula1>0</formula1>
      <formula2>100</formula2>
    </dataValidation>
    <dataValidation type="whole" errorTitle="Ventes invalides" error="Ventes archivage entre 0 et 100" sqref="H3:H7" xr:uid="{00000000-0002-0000-0400-000007000000}">
      <formula1>0</formula1>
      <formula2>100</formula2>
    </dataValidation>
    <dataValidation type="whole" errorTitle="Absences invalides" error="Absences non justifiées entre 0 et 10 jours" sqref="I3:I7" xr:uid="{00000000-0002-0000-0400-000008000000}">
      <formula1>0</formula1>
      <formula2>10</formula2>
    </dataValidation>
    <dataValidation type="whole" errorTitle="Absences invalides" error="Absences réunions entre 0 et 20" sqref="J3:J7" xr:uid="{00000000-0002-0000-0400-000009000000}">
      <formula1>0</formula1>
      <formula2>20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sqref="A1:J1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77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5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500-000001000000}">
      <formula1>1000</formula1>
      <formula2>10000</formula2>
    </dataValidation>
    <dataValidation type="whole" errorTitle="Appels invalides" error="Nombre d'appels entre 0 et 500" sqref="C3:C7" xr:uid="{00000000-0002-0000-0500-000002000000}">
      <formula1>0</formula1>
      <formula2>500</formula2>
    </dataValidation>
    <dataValidation type="whole" errorTitle="RDV invalides" error="Nombre de RDV entre 0 et 50" sqref="D3:D7" xr:uid="{00000000-0002-0000-0500-000003000000}">
      <formula1>0</formula1>
      <formula2>50</formula2>
    </dataValidation>
    <dataValidation type="whole" errorTitle="Abonnements invalides" error="Nombre d'abonnements annuels entre 0 et 20" sqref="E3:E7" xr:uid="{00000000-0002-0000-0500-000004000000}">
      <formula1>0</formula1>
      <formula2>20</formula2>
    </dataValidation>
    <dataValidation type="whole" errorTitle="Abonnements invalides" error="Nombre d'abonnements mensuels entre 0 et 50" sqref="F3:F7" xr:uid="{00000000-0002-0000-0500-000005000000}">
      <formula1>0</formula1>
      <formula2>50</formula2>
    </dataValidation>
    <dataValidation type="whole" errorTitle="Ventes invalides" error="Ventes site web entre 0 et 100" sqref="G3:G7" xr:uid="{00000000-0002-0000-0500-000006000000}">
      <formula1>0</formula1>
      <formula2>100</formula2>
    </dataValidation>
    <dataValidation type="whole" errorTitle="Ventes invalides" error="Ventes archivage entre 0 et 100" sqref="H3:H7" xr:uid="{00000000-0002-0000-0500-000007000000}">
      <formula1>0</formula1>
      <formula2>100</formula2>
    </dataValidation>
    <dataValidation type="whole" errorTitle="Absences invalides" error="Absences non justifiées entre 0 et 10 jours" sqref="I3:I7" xr:uid="{00000000-0002-0000-0500-000008000000}">
      <formula1>0</formula1>
      <formula2>10</formula2>
    </dataValidation>
    <dataValidation type="whole" errorTitle="Absences invalides" error="Absences réunions entre 0 et 20" sqref="J3:J7" xr:uid="{00000000-0002-0000-0500-000009000000}">
      <formula1>0</formula1>
      <formula2>20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>
      <selection activeCell="A2" sqref="A2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85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6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600-000001000000}">
      <formula1>1000</formula1>
      <formula2>10000</formula2>
    </dataValidation>
    <dataValidation type="whole" errorTitle="Appels invalides" error="Nombre d'appels entre 0 et 500" sqref="C3:C7" xr:uid="{00000000-0002-0000-0600-000002000000}">
      <formula1>0</formula1>
      <formula2>500</formula2>
    </dataValidation>
    <dataValidation type="whole" errorTitle="RDV invalides" error="Nombre de RDV entre 0 et 50" sqref="D3:D7" xr:uid="{00000000-0002-0000-0600-000003000000}">
      <formula1>0</formula1>
      <formula2>50</formula2>
    </dataValidation>
    <dataValidation type="whole" errorTitle="Abonnements invalides" error="Nombre d'abonnements annuels entre 0 et 20" sqref="E3:E7" xr:uid="{00000000-0002-0000-0600-000004000000}">
      <formula1>0</formula1>
      <formula2>20</formula2>
    </dataValidation>
    <dataValidation type="whole" errorTitle="Abonnements invalides" error="Nombre d'abonnements mensuels entre 0 et 50" sqref="F3:F7" xr:uid="{00000000-0002-0000-0600-000005000000}">
      <formula1>0</formula1>
      <formula2>50</formula2>
    </dataValidation>
    <dataValidation type="whole" errorTitle="Ventes invalides" error="Ventes site web entre 0 et 100" sqref="G3:G7" xr:uid="{00000000-0002-0000-0600-000006000000}">
      <formula1>0</formula1>
      <formula2>100</formula2>
    </dataValidation>
    <dataValidation type="whole" errorTitle="Ventes invalides" error="Ventes archivage entre 0 et 100" sqref="H3:H7" xr:uid="{00000000-0002-0000-0600-000007000000}">
      <formula1>0</formula1>
      <formula2>100</formula2>
    </dataValidation>
    <dataValidation type="whole" errorTitle="Absences invalides" error="Absences non justifiées entre 0 et 10 jours" sqref="I3:I7" xr:uid="{00000000-0002-0000-0600-000008000000}">
      <formula1>0</formula1>
      <formula2>10</formula2>
    </dataValidation>
    <dataValidation type="whole" errorTitle="Absences invalides" error="Absences réunions entre 0 et 20" sqref="J3:J7" xr:uid="{00000000-0002-0000-0600-000009000000}">
      <formula1>0</formula1>
      <formula2>20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>
      <selection activeCell="A2" sqref="A2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84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7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700-000001000000}">
      <formula1>1000</formula1>
      <formula2>10000</formula2>
    </dataValidation>
    <dataValidation type="whole" errorTitle="Appels invalides" error="Nombre d'appels entre 0 et 500" sqref="C3:C7" xr:uid="{00000000-0002-0000-0700-000002000000}">
      <formula1>0</formula1>
      <formula2>500</formula2>
    </dataValidation>
    <dataValidation type="whole" errorTitle="RDV invalides" error="Nombre de RDV entre 0 et 50" sqref="D3:D7" xr:uid="{00000000-0002-0000-0700-000003000000}">
      <formula1>0</formula1>
      <formula2>50</formula2>
    </dataValidation>
    <dataValidation type="whole" errorTitle="Abonnements invalides" error="Nombre d'abonnements annuels entre 0 et 20" sqref="E3:E7" xr:uid="{00000000-0002-0000-0700-000004000000}">
      <formula1>0</formula1>
      <formula2>20</formula2>
    </dataValidation>
    <dataValidation type="whole" errorTitle="Abonnements invalides" error="Nombre d'abonnements mensuels entre 0 et 50" sqref="F3:F7" xr:uid="{00000000-0002-0000-0700-000005000000}">
      <formula1>0</formula1>
      <formula2>50</formula2>
    </dataValidation>
    <dataValidation type="whole" errorTitle="Ventes invalides" error="Ventes site web entre 0 et 100" sqref="G3:G7" xr:uid="{00000000-0002-0000-0700-000006000000}">
      <formula1>0</formula1>
      <formula2>100</formula2>
    </dataValidation>
    <dataValidation type="whole" errorTitle="Ventes invalides" error="Ventes archivage entre 0 et 100" sqref="H3:H7" xr:uid="{00000000-0002-0000-0700-000007000000}">
      <formula1>0</formula1>
      <formula2>100</formula2>
    </dataValidation>
    <dataValidation type="whole" errorTitle="Absences invalides" error="Absences non justifiées entre 0 et 10 jours" sqref="I3:I7" xr:uid="{00000000-0002-0000-0700-000008000000}">
      <formula1>0</formula1>
      <formula2>10</formula2>
    </dataValidation>
    <dataValidation type="whole" errorTitle="Absences invalides" error="Absences réunions entre 0 et 20" sqref="J3:J7" xr:uid="{00000000-0002-0000-0700-000009000000}">
      <formula1>0</formula1>
      <formula2>20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>
      <selection activeCell="A2" sqref="A2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83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8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800-000001000000}">
      <formula1>1000</formula1>
      <formula2>10000</formula2>
    </dataValidation>
    <dataValidation type="whole" errorTitle="Appels invalides" error="Nombre d'appels entre 0 et 500" sqref="C3:C7" xr:uid="{00000000-0002-0000-0800-000002000000}">
      <formula1>0</formula1>
      <formula2>500</formula2>
    </dataValidation>
    <dataValidation type="whole" errorTitle="RDV invalides" error="Nombre de RDV entre 0 et 50" sqref="D3:D7" xr:uid="{00000000-0002-0000-0800-000003000000}">
      <formula1>0</formula1>
      <formula2>50</formula2>
    </dataValidation>
    <dataValidation type="whole" errorTitle="Abonnements invalides" error="Nombre d'abonnements annuels entre 0 et 20" sqref="E3:E7" xr:uid="{00000000-0002-0000-0800-000004000000}">
      <formula1>0</formula1>
      <formula2>20</formula2>
    </dataValidation>
    <dataValidation type="whole" errorTitle="Abonnements invalides" error="Nombre d'abonnements mensuels entre 0 et 50" sqref="F3:F7" xr:uid="{00000000-0002-0000-0800-000005000000}">
      <formula1>0</formula1>
      <formula2>50</formula2>
    </dataValidation>
    <dataValidation type="whole" errorTitle="Ventes invalides" error="Ventes site web entre 0 et 100" sqref="G3:G7" xr:uid="{00000000-0002-0000-0800-000006000000}">
      <formula1>0</formula1>
      <formula2>100</formula2>
    </dataValidation>
    <dataValidation type="whole" errorTitle="Ventes invalides" error="Ventes archivage entre 0 et 100" sqref="H3:H7" xr:uid="{00000000-0002-0000-0800-000007000000}">
      <formula1>0</formula1>
      <formula2>100</formula2>
    </dataValidation>
    <dataValidation type="whole" errorTitle="Absences invalides" error="Absences non justifiées entre 0 et 10 jours" sqref="I3:I7" xr:uid="{00000000-0002-0000-0800-000008000000}">
      <formula1>0</formula1>
      <formula2>10</formula2>
    </dataValidation>
    <dataValidation type="whole" errorTitle="Absences invalides" error="Absences réunions entre 0 et 20" sqref="J3:J7" xr:uid="{00000000-0002-0000-0800-000009000000}">
      <formula1>0</formula1>
      <formula2>20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>
      <selection activeCell="A2" sqref="A2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82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9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900-000001000000}">
      <formula1>1000</formula1>
      <formula2>10000</formula2>
    </dataValidation>
    <dataValidation type="whole" errorTitle="Appels invalides" error="Nombre d'appels entre 0 et 500" sqref="C3:C7" xr:uid="{00000000-0002-0000-0900-000002000000}">
      <formula1>0</formula1>
      <formula2>500</formula2>
    </dataValidation>
    <dataValidation type="whole" errorTitle="RDV invalides" error="Nombre de RDV entre 0 et 50" sqref="D3:D7" xr:uid="{00000000-0002-0000-0900-000003000000}">
      <formula1>0</formula1>
      <formula2>50</formula2>
    </dataValidation>
    <dataValidation type="whole" errorTitle="Abonnements invalides" error="Nombre d'abonnements annuels entre 0 et 20" sqref="E3:E7" xr:uid="{00000000-0002-0000-0900-000004000000}">
      <formula1>0</formula1>
      <formula2>20</formula2>
    </dataValidation>
    <dataValidation type="whole" errorTitle="Abonnements invalides" error="Nombre d'abonnements mensuels entre 0 et 50" sqref="F3:F7" xr:uid="{00000000-0002-0000-0900-000005000000}">
      <formula1>0</formula1>
      <formula2>50</formula2>
    </dataValidation>
    <dataValidation type="whole" errorTitle="Ventes invalides" error="Ventes site web entre 0 et 100" sqref="G3:G7" xr:uid="{00000000-0002-0000-0900-000006000000}">
      <formula1>0</formula1>
      <formula2>100</formula2>
    </dataValidation>
    <dataValidation type="whole" errorTitle="Ventes invalides" error="Ventes archivage entre 0 et 100" sqref="H3:H7" xr:uid="{00000000-0002-0000-0900-000007000000}">
      <formula1>0</formula1>
      <formula2>100</formula2>
    </dataValidation>
    <dataValidation type="whole" errorTitle="Absences invalides" error="Absences non justifiées entre 0 et 10 jours" sqref="I3:I7" xr:uid="{00000000-0002-0000-0900-000008000000}">
      <formula1>0</formula1>
      <formula2>10</formula2>
    </dataValidation>
    <dataValidation type="whole" errorTitle="Absences invalides" error="Absences réunions entre 0 et 20" sqref="J3:J7" xr:uid="{00000000-0002-0000-0900-000009000000}">
      <formula1>0</formula1>
      <formula2>20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>
      <selection activeCell="A2" sqref="A2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81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A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A00-000001000000}">
      <formula1>1000</formula1>
      <formula2>10000</formula2>
    </dataValidation>
    <dataValidation type="whole" errorTitle="Appels invalides" error="Nombre d'appels entre 0 et 500" sqref="C3:C7" xr:uid="{00000000-0002-0000-0A00-000002000000}">
      <formula1>0</formula1>
      <formula2>500</formula2>
    </dataValidation>
    <dataValidation type="whole" errorTitle="RDV invalides" error="Nombre de RDV entre 0 et 50" sqref="D3:D7" xr:uid="{00000000-0002-0000-0A00-000003000000}">
      <formula1>0</formula1>
      <formula2>50</formula2>
    </dataValidation>
    <dataValidation type="whole" errorTitle="Abonnements invalides" error="Nombre d'abonnements annuels entre 0 et 20" sqref="E3:E7" xr:uid="{00000000-0002-0000-0A00-000004000000}">
      <formula1>0</formula1>
      <formula2>20</formula2>
    </dataValidation>
    <dataValidation type="whole" errorTitle="Abonnements invalides" error="Nombre d'abonnements mensuels entre 0 et 50" sqref="F3:F7" xr:uid="{00000000-0002-0000-0A00-000005000000}">
      <formula1>0</formula1>
      <formula2>50</formula2>
    </dataValidation>
    <dataValidation type="whole" errorTitle="Ventes invalides" error="Ventes site web entre 0 et 100" sqref="G3:G7" xr:uid="{00000000-0002-0000-0A00-000006000000}">
      <formula1>0</formula1>
      <formula2>100</formula2>
    </dataValidation>
    <dataValidation type="whole" errorTitle="Ventes invalides" error="Ventes archivage entre 0 et 100" sqref="H3:H7" xr:uid="{00000000-0002-0000-0A00-000007000000}">
      <formula1>0</formula1>
      <formula2>100</formula2>
    </dataValidation>
    <dataValidation type="whole" errorTitle="Absences invalides" error="Absences non justifiées entre 0 et 10 jours" sqref="I3:I7" xr:uid="{00000000-0002-0000-0A00-000008000000}">
      <formula1>0</formula1>
      <formula2>10</formula2>
    </dataValidation>
    <dataValidation type="whole" errorTitle="Absences invalides" error="Absences réunions entre 0 et 20" sqref="J3:J7" xr:uid="{00000000-0002-0000-0A00-000009000000}">
      <formula1>0</formula1>
      <formula2>20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workbookViewId="0">
      <selection activeCell="A2" sqref="A2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80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B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B00-000001000000}">
      <formula1>1000</formula1>
      <formula2>10000</formula2>
    </dataValidation>
    <dataValidation type="whole" errorTitle="Appels invalides" error="Nombre d'appels entre 0 et 500" sqref="C3:C7" xr:uid="{00000000-0002-0000-0B00-000002000000}">
      <formula1>0</formula1>
      <formula2>500</formula2>
    </dataValidation>
    <dataValidation type="whole" errorTitle="RDV invalides" error="Nombre de RDV entre 0 et 50" sqref="D3:D7" xr:uid="{00000000-0002-0000-0B00-000003000000}">
      <formula1>0</formula1>
      <formula2>50</formula2>
    </dataValidation>
    <dataValidation type="whole" errorTitle="Abonnements invalides" error="Nombre d'abonnements annuels entre 0 et 20" sqref="E3:E7" xr:uid="{00000000-0002-0000-0B00-000004000000}">
      <formula1>0</formula1>
      <formula2>20</formula2>
    </dataValidation>
    <dataValidation type="whole" errorTitle="Abonnements invalides" error="Nombre d'abonnements mensuels entre 0 et 50" sqref="F3:F7" xr:uid="{00000000-0002-0000-0B00-000005000000}">
      <formula1>0</formula1>
      <formula2>50</formula2>
    </dataValidation>
    <dataValidation type="whole" errorTitle="Ventes invalides" error="Ventes site web entre 0 et 100" sqref="G3:G7" xr:uid="{00000000-0002-0000-0B00-000006000000}">
      <formula1>0</formula1>
      <formula2>100</formula2>
    </dataValidation>
    <dataValidation type="whole" errorTitle="Ventes invalides" error="Ventes archivage entre 0 et 100" sqref="H3:H7" xr:uid="{00000000-0002-0000-0B00-000007000000}">
      <formula1>0</formula1>
      <formula2>100</formula2>
    </dataValidation>
    <dataValidation type="whole" errorTitle="Absences invalides" error="Absences non justifiées entre 0 et 10 jours" sqref="I3:I7" xr:uid="{00000000-0002-0000-0B00-000008000000}">
      <formula1>0</formula1>
      <formula2>10</formula2>
    </dataValidation>
    <dataValidation type="whole" errorTitle="Absences invalides" error="Absences réunions entre 0 et 20" sqref="J3:J7" xr:uid="{00000000-0002-0000-0B00-000009000000}">
      <formula1>0</formula1>
      <formula2>20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"/>
  <sheetViews>
    <sheetView workbookViewId="0">
      <selection activeCell="D6" sqref="D6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79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C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C00-000001000000}">
      <formula1>1000</formula1>
      <formula2>10000</formula2>
    </dataValidation>
    <dataValidation type="whole" errorTitle="Appels invalides" error="Nombre d'appels entre 0 et 500" sqref="C3:C7" xr:uid="{00000000-0002-0000-0C00-000002000000}">
      <formula1>0</formula1>
      <formula2>500</formula2>
    </dataValidation>
    <dataValidation type="whole" errorTitle="RDV invalides" error="Nombre de RDV entre 0 et 50" sqref="D3:D7" xr:uid="{00000000-0002-0000-0C00-000003000000}">
      <formula1>0</formula1>
      <formula2>50</formula2>
    </dataValidation>
    <dataValidation type="whole" errorTitle="Abonnements invalides" error="Nombre d'abonnements annuels entre 0 et 20" sqref="E3:E7" xr:uid="{00000000-0002-0000-0C00-000004000000}">
      <formula1>0</formula1>
      <formula2>20</formula2>
    </dataValidation>
    <dataValidation type="whole" errorTitle="Abonnements invalides" error="Nombre d'abonnements mensuels entre 0 et 50" sqref="F3:F7" xr:uid="{00000000-0002-0000-0C00-000005000000}">
      <formula1>0</formula1>
      <formula2>50</formula2>
    </dataValidation>
    <dataValidation type="whole" errorTitle="Ventes invalides" error="Ventes site web entre 0 et 100" sqref="G3:G7" xr:uid="{00000000-0002-0000-0C00-000006000000}">
      <formula1>0</formula1>
      <formula2>100</formula2>
    </dataValidation>
    <dataValidation type="whole" errorTitle="Ventes invalides" error="Ventes archivage entre 0 et 100" sqref="H3:H7" xr:uid="{00000000-0002-0000-0C00-000007000000}">
      <formula1>0</formula1>
      <formula2>100</formula2>
    </dataValidation>
    <dataValidation type="whole" errorTitle="Absences invalides" error="Absences non justifiées entre 0 et 10 jours" sqref="I3:I7" xr:uid="{00000000-0002-0000-0C00-000008000000}">
      <formula1>0</formula1>
      <formula2>10</formula2>
    </dataValidation>
    <dataValidation type="whole" errorTitle="Absences invalides" error="Absences réunions entre 0 et 20" sqref="J3:J7" xr:uid="{00000000-0002-0000-0C00-000009000000}">
      <formula1>0</formula1>
      <formula2>20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"/>
  <sheetViews>
    <sheetView workbookViewId="0">
      <selection activeCell="A2" sqref="A2"/>
    </sheetView>
  </sheetViews>
  <sheetFormatPr baseColWidth="10" defaultColWidth="8.88671875" defaultRowHeight="14.4"/>
  <cols>
    <col min="1" max="10" width="15" customWidth="1"/>
  </cols>
  <sheetData>
    <row r="1" spans="1:10" ht="18">
      <c r="A1" s="28" t="s">
        <v>78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" t="s">
        <v>42</v>
      </c>
      <c r="B2" s="3" t="s">
        <v>43</v>
      </c>
      <c r="C2" s="3" t="s">
        <v>6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</row>
    <row r="3" spans="1:10">
      <c r="A3" s="4" t="s">
        <v>73</v>
      </c>
      <c r="B3" s="4">
        <v>50000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4" t="s">
        <v>16</v>
      </c>
      <c r="B4" s="4">
        <v>3000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4" t="s">
        <v>17</v>
      </c>
      <c r="B5" s="4">
        <v>3000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4" t="s">
        <v>18</v>
      </c>
      <c r="B6" s="4">
        <v>3000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>
      <c r="A7" s="4" t="s">
        <v>19</v>
      </c>
      <c r="B7" s="4">
        <v>3000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</sheetData>
  <mergeCells count="1">
    <mergeCell ref="A1:J1"/>
  </mergeCells>
  <dataValidations count="10">
    <dataValidation type="list" errorTitle="Nom invalide" error="Veuillez sélectionner un nom dans la liste" sqref="A3:A7" xr:uid="{00000000-0002-0000-0D00-000000000000}">
      <formula1>"Jean Dupont,Marie Martin,Pierre Durand,Sophie Leroy,Michel Bernard"</formula1>
    </dataValidation>
    <dataValidation type="whole" errorTitle="Salaire invalide" error="Le salaire doit être entre 1000 et 10000 euros" sqref="B3:B7" xr:uid="{00000000-0002-0000-0D00-000001000000}">
      <formula1>1000</formula1>
      <formula2>10000</formula2>
    </dataValidation>
    <dataValidation type="whole" errorTitle="Appels invalides" error="Nombre d'appels entre 0 et 500" sqref="C3:C7" xr:uid="{00000000-0002-0000-0D00-000002000000}">
      <formula1>0</formula1>
      <formula2>500</formula2>
    </dataValidation>
    <dataValidation type="whole" errorTitle="RDV invalides" error="Nombre de RDV entre 0 et 50" sqref="D3:D7" xr:uid="{00000000-0002-0000-0D00-000003000000}">
      <formula1>0</formula1>
      <formula2>50</formula2>
    </dataValidation>
    <dataValidation type="whole" errorTitle="Abonnements invalides" error="Nombre d'abonnements annuels entre 0 et 20" sqref="E3:E7" xr:uid="{00000000-0002-0000-0D00-000004000000}">
      <formula1>0</formula1>
      <formula2>20</formula2>
    </dataValidation>
    <dataValidation type="whole" errorTitle="Abonnements invalides" error="Nombre d'abonnements mensuels entre 0 et 50" sqref="F3:F7" xr:uid="{00000000-0002-0000-0D00-000005000000}">
      <formula1>0</formula1>
      <formula2>50</formula2>
    </dataValidation>
    <dataValidation type="whole" errorTitle="Ventes invalides" error="Ventes site web entre 0 et 100" sqref="G3:G7" xr:uid="{00000000-0002-0000-0D00-000006000000}">
      <formula1>0</formula1>
      <formula2>100</formula2>
    </dataValidation>
    <dataValidation type="whole" errorTitle="Ventes invalides" error="Ventes archivage entre 0 et 100" sqref="H3:H7" xr:uid="{00000000-0002-0000-0D00-000007000000}">
      <formula1>0</formula1>
      <formula2>100</formula2>
    </dataValidation>
    <dataValidation type="whole" errorTitle="Absences invalides" error="Absences non justifiées entre 0 et 10 jours" sqref="I3:I7" xr:uid="{00000000-0002-0000-0D00-000008000000}">
      <formula1>0</formula1>
      <formula2>10</formula2>
    </dataValidation>
    <dataValidation type="whole" errorTitle="Absences invalides" error="Absences réunions entre 0 et 20" sqref="J3:J7" xr:uid="{00000000-0002-0000-0D00-000009000000}">
      <formula1>0</formula1>
      <formula2>20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7" sqref="B7"/>
    </sheetView>
  </sheetViews>
  <sheetFormatPr baseColWidth="10" defaultColWidth="8.88671875" defaultRowHeight="14.4"/>
  <cols>
    <col min="1" max="1" width="40" customWidth="1"/>
    <col min="2" max="2" width="15" customWidth="1"/>
  </cols>
  <sheetData>
    <row r="1" spans="1:2" ht="18">
      <c r="A1" s="23" t="s">
        <v>31</v>
      </c>
      <c r="B1" s="22"/>
    </row>
    <row r="2" spans="1:2">
      <c r="A2" s="5" t="s">
        <v>32</v>
      </c>
      <c r="B2" s="5" t="s">
        <v>33</v>
      </c>
    </row>
    <row r="3" spans="1:2">
      <c r="A3" s="4" t="s">
        <v>34</v>
      </c>
      <c r="B3" s="4">
        <v>200</v>
      </c>
    </row>
    <row r="4" spans="1:2">
      <c r="A4" s="4" t="s">
        <v>35</v>
      </c>
      <c r="B4" s="4">
        <v>150</v>
      </c>
    </row>
    <row r="5" spans="1:2">
      <c r="A5" s="4" t="s">
        <v>36</v>
      </c>
      <c r="B5" s="4">
        <v>16</v>
      </c>
    </row>
    <row r="6" spans="1:2">
      <c r="A6" s="4" t="s">
        <v>37</v>
      </c>
      <c r="B6" s="4">
        <v>4</v>
      </c>
    </row>
    <row r="7" spans="1:2">
      <c r="A7" s="4" t="s">
        <v>38</v>
      </c>
      <c r="B7" s="4">
        <v>0.4</v>
      </c>
    </row>
    <row r="8" spans="1:2">
      <c r="A8" s="4" t="s">
        <v>39</v>
      </c>
      <c r="B8" s="4">
        <v>0.25</v>
      </c>
    </row>
    <row r="9" spans="1:2">
      <c r="A9" s="4" t="s">
        <v>40</v>
      </c>
      <c r="B9" s="4">
        <v>0.1</v>
      </c>
    </row>
    <row r="10" spans="1:2">
      <c r="A10" s="4" t="s">
        <v>41</v>
      </c>
      <c r="B10" s="4">
        <v>0.02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0"/>
  <sheetViews>
    <sheetView tabSelected="1" topLeftCell="A4" workbookViewId="0">
      <selection activeCell="E25" sqref="E25"/>
    </sheetView>
  </sheetViews>
  <sheetFormatPr baseColWidth="10" defaultColWidth="8.88671875" defaultRowHeight="14.4"/>
  <cols>
    <col min="1" max="1" width="65.109375" bestFit="1" customWidth="1"/>
    <col min="2" max="2" width="17.6640625" bestFit="1" customWidth="1"/>
    <col min="3" max="3" width="12" bestFit="1" customWidth="1"/>
    <col min="4" max="4" width="13.88671875" bestFit="1" customWidth="1"/>
    <col min="5" max="5" width="20" bestFit="1" customWidth="1"/>
    <col min="6" max="6" width="21.44140625" bestFit="1" customWidth="1"/>
    <col min="7" max="7" width="14.33203125" bestFit="1" customWidth="1"/>
    <col min="8" max="8" width="15.5546875" bestFit="1" customWidth="1"/>
    <col min="9" max="9" width="26.88671875" bestFit="1" customWidth="1"/>
    <col min="10" max="10" width="20.77734375" bestFit="1" customWidth="1"/>
  </cols>
  <sheetData>
    <row r="1" spans="1:16">
      <c r="A1" s="24" t="s">
        <v>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6" ht="18">
      <c r="A2" s="8" t="s">
        <v>52</v>
      </c>
    </row>
    <row r="3" spans="1:16">
      <c r="A3" s="22"/>
      <c r="B3" s="22"/>
      <c r="C3" s="22"/>
    </row>
    <row r="4" spans="1:16" ht="15.6">
      <c r="A4" s="9" t="s">
        <v>53</v>
      </c>
      <c r="B4" s="10" t="s">
        <v>2</v>
      </c>
      <c r="C4" s="10"/>
    </row>
    <row r="5" spans="1:16">
      <c r="A5" s="11" t="s">
        <v>54</v>
      </c>
      <c r="B5" s="12" t="str">
        <f>B4</f>
        <v>Janvier</v>
      </c>
      <c r="C5" s="4"/>
    </row>
    <row r="7" spans="1:16">
      <c r="A7" s="3" t="s">
        <v>42</v>
      </c>
      <c r="B7" s="3" t="s">
        <v>43</v>
      </c>
      <c r="C7" s="3" t="s">
        <v>6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50</v>
      </c>
    </row>
    <row r="8" spans="1:16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6">
      <c r="A9" s="11" t="str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A3"))</f>
        <v>Ekobo Berthe</v>
      </c>
      <c r="B9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B3"))</f>
        <v>50000</v>
      </c>
      <c r="C9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C3"))</f>
        <v>100</v>
      </c>
      <c r="D9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D3"))</f>
        <v>10</v>
      </c>
      <c r="E9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E3"))</f>
        <v>1</v>
      </c>
      <c r="F9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F3"))</f>
        <v>1</v>
      </c>
      <c r="G9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G3"))</f>
        <v>0</v>
      </c>
      <c r="H9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H3"))</f>
        <v>0</v>
      </c>
      <c r="I9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I3"))</f>
        <v>0</v>
      </c>
      <c r="J9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J3"))</f>
        <v>0</v>
      </c>
    </row>
    <row r="10" spans="1:16">
      <c r="A10" s="13" t="str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A4"))</f>
        <v>Marie Martin</v>
      </c>
      <c r="B10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B4"))</f>
        <v>3200</v>
      </c>
      <c r="C10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C4"))</f>
        <v>220</v>
      </c>
      <c r="D10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D4"))</f>
        <v>18</v>
      </c>
      <c r="E10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E4"))</f>
        <v>4</v>
      </c>
      <c r="F10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F4"))</f>
        <v>6</v>
      </c>
      <c r="G10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G4"))</f>
        <v>3</v>
      </c>
      <c r="H10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H4"))</f>
        <v>2</v>
      </c>
      <c r="I10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I4"))</f>
        <v>0</v>
      </c>
      <c r="J10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J4"))</f>
        <v>1</v>
      </c>
    </row>
    <row r="11" spans="1:16">
      <c r="A11" s="11" t="str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A5"))</f>
        <v>Pierre Durand</v>
      </c>
      <c r="B11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B5"))</f>
        <v>2800</v>
      </c>
      <c r="C11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C5"))</f>
        <v>160</v>
      </c>
      <c r="D11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D5"))</f>
        <v>12</v>
      </c>
      <c r="E11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E5"))</f>
        <v>2</v>
      </c>
      <c r="F11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F5"))</f>
        <v>3</v>
      </c>
      <c r="G11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G5"))</f>
        <v>1</v>
      </c>
      <c r="H11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H5"))</f>
        <v>1</v>
      </c>
      <c r="I11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I5"))</f>
        <v>2</v>
      </c>
      <c r="J11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J5"))</f>
        <v>1</v>
      </c>
    </row>
    <row r="12" spans="1:16">
      <c r="A12" s="13" t="str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A6"))</f>
        <v>Sophie Leroy</v>
      </c>
      <c r="B12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B6"))</f>
        <v>3500</v>
      </c>
      <c r="C12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C6"))</f>
        <v>240</v>
      </c>
      <c r="D12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D6"))</f>
        <v>20</v>
      </c>
      <c r="E12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E6"))</f>
        <v>5</v>
      </c>
      <c r="F12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F6"))</f>
        <v>8</v>
      </c>
      <c r="G12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G6"))</f>
        <v>4</v>
      </c>
      <c r="H12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H6"))</f>
        <v>3</v>
      </c>
      <c r="I12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I6"))</f>
        <v>0</v>
      </c>
      <c r="J12" s="13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J6"))</f>
        <v>0</v>
      </c>
    </row>
    <row r="13" spans="1:16">
      <c r="A13" s="11" t="str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A7"))</f>
        <v>Michel Bernard</v>
      </c>
      <c r="B13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B7"))</f>
        <v>2900</v>
      </c>
      <c r="C13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C7"))</f>
        <v>190</v>
      </c>
      <c r="D13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D7"))</f>
        <v>16</v>
      </c>
      <c r="E13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E7"))</f>
        <v>3</v>
      </c>
      <c r="F13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F7"))</f>
        <v>4</v>
      </c>
      <c r="G13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G7"))</f>
        <v>2</v>
      </c>
      <c r="H13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H7"))</f>
        <v>1</v>
      </c>
      <c r="I13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I7"))</f>
        <v>1</v>
      </c>
      <c r="J13" s="11">
        <f ca="1">INDIRECT(CONCATENATE(IF(B4="Janvier","01_Janvier",IF(B4="Février","02_Février",IF(B4="Mars","03_Mars",IF(B4="Avril","04_Avril",IF(B4="Mai","05_Mai",IF(B4="Juin","06_Juin",IF(B4="Juillet","07_Juillet",IF(B4="Août","08_Août",IF(B4="Septembre","09_Septembre",IF(B4="Octobre","10_Octobre",IF(B4="Novembre","11_Novembre","12_Décembre"))))))))))),"!J7"))</f>
        <v>1</v>
      </c>
    </row>
    <row r="14" spans="1:16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16" ht="15.6">
      <c r="A15" s="14" t="s">
        <v>55</v>
      </c>
    </row>
    <row r="16" spans="1:16">
      <c r="A16" s="15" t="s">
        <v>42</v>
      </c>
      <c r="B16" s="15" t="s">
        <v>56</v>
      </c>
      <c r="C16" s="15" t="s">
        <v>57</v>
      </c>
      <c r="D16" s="15" t="s">
        <v>58</v>
      </c>
      <c r="E16" s="15" t="s">
        <v>59</v>
      </c>
      <c r="F16" s="15" t="s">
        <v>60</v>
      </c>
      <c r="G16" s="15" t="s">
        <v>61</v>
      </c>
      <c r="H16" s="15" t="s">
        <v>62</v>
      </c>
      <c r="I16" s="15" t="s">
        <v>63</v>
      </c>
      <c r="J16" s="15" t="s">
        <v>64</v>
      </c>
    </row>
    <row r="17" spans="1:10">
      <c r="A17" s="16" t="str">
        <f ca="1">A9</f>
        <v>Ekobo Berthe</v>
      </c>
      <c r="B17" s="16">
        <f ca="1">IF(C9&gt;=Paramètres!$B$4,MIN(C9/Paramètres!$B$3,1),0)</f>
        <v>0</v>
      </c>
      <c r="C17" s="16">
        <f ca="1">MIN(D9/Paramètres!B5,1)</f>
        <v>0.625</v>
      </c>
      <c r="D17" s="29">
        <f ca="1">MIN(((E9*1)+(F9*Paramètres!B7))/Paramètres!B6,1)</f>
        <v>0.35</v>
      </c>
      <c r="E17" s="30">
        <f ca="1">G9*0.1*$B$9</f>
        <v>0</v>
      </c>
      <c r="F17" s="30">
        <f ca="1">H9*0.1*$B$9</f>
        <v>0</v>
      </c>
      <c r="G17">
        <f ca="1">IF(AND(E9+F9&gt;=1,G9&gt;=1,H9&gt;=1),B9*Paramètres!$B$8,0)</f>
        <v>0</v>
      </c>
      <c r="H17" s="16">
        <f ca="1">I9*B9*Paramètres!$B$9</f>
        <v>0</v>
      </c>
      <c r="I17" s="16">
        <f ca="1">J9*B9*Paramètres!$B$10</f>
        <v>0</v>
      </c>
      <c r="J17" s="16">
        <f ca="1">E17+F17+G17-H17-I17</f>
        <v>0</v>
      </c>
    </row>
    <row r="18" spans="1:10">
      <c r="A18" t="str">
        <f ca="1">A10</f>
        <v>Marie Martin</v>
      </c>
      <c r="B18">
        <f ca="1">IF(C10&gt;=Paramètres!B4,MIN(C10/Paramètres!B3,1),0)</f>
        <v>1</v>
      </c>
      <c r="C18">
        <f ca="1">MIN(D10/Paramètres!B5,1)</f>
        <v>1</v>
      </c>
      <c r="D18" s="29">
        <f ca="1">MIN(((E10*1)+(F10*Paramètres!B7))/Paramètres!B6,1)</f>
        <v>1</v>
      </c>
      <c r="E18" s="30">
        <f t="shared" ref="E18:E21" ca="1" si="0">G10*0.1*$B$9</f>
        <v>15000.000000000002</v>
      </c>
      <c r="F18" s="30">
        <f t="shared" ref="F18:F21" ca="1" si="1">H10*0.1*$B$9</f>
        <v>10000</v>
      </c>
      <c r="G18" s="20">
        <f ca="1">IF(AND(E10+F10&gt;=1,G10&gt;=1,H10&gt;=1),B10*Paramètres!$B$8,0)</f>
        <v>800</v>
      </c>
      <c r="H18" s="16">
        <f ca="1">I10*B10*Paramètres!$B$9</f>
        <v>0</v>
      </c>
      <c r="I18" s="16">
        <f ca="1">J10*B10*Paramètres!$B$10</f>
        <v>64</v>
      </c>
      <c r="J18" s="16">
        <f t="shared" ref="J18:J20" ca="1" si="2">E18+F18+G18-H18-I18</f>
        <v>25736</v>
      </c>
    </row>
    <row r="19" spans="1:10">
      <c r="A19" s="16" t="str">
        <f ca="1">A11</f>
        <v>Pierre Durand</v>
      </c>
      <c r="B19" s="16">
        <f ca="1">IF(C11&gt;=Paramètres!B4,MIN(C11/Paramètres!B3,1),0)</f>
        <v>0.8</v>
      </c>
      <c r="C19" s="16">
        <f ca="1">MIN(D11/Paramètres!B5,1)</f>
        <v>0.75</v>
      </c>
      <c r="D19" s="29">
        <f ca="1">MIN(((E11*1)+(F11*Paramètres!B7))/Paramètres!B6,1)</f>
        <v>0.8</v>
      </c>
      <c r="E19" s="30">
        <f t="shared" ca="1" si="0"/>
        <v>5000</v>
      </c>
      <c r="F19" s="30">
        <f t="shared" ca="1" si="1"/>
        <v>5000</v>
      </c>
      <c r="G19" s="20">
        <f ca="1">IF(AND(E11+F11&gt;=1,G11&gt;=1,H11&gt;=1),B11*Paramètres!$B$8,0)</f>
        <v>700</v>
      </c>
      <c r="H19" s="16">
        <f ca="1">I11*B11*Paramètres!$B$9</f>
        <v>560</v>
      </c>
      <c r="I19" s="16">
        <f ca="1">J11*B11*Paramètres!$B$10</f>
        <v>56</v>
      </c>
      <c r="J19" s="16">
        <f t="shared" ca="1" si="2"/>
        <v>10084</v>
      </c>
    </row>
    <row r="20" spans="1:10">
      <c r="A20" t="str">
        <f ca="1">A12</f>
        <v>Sophie Leroy</v>
      </c>
      <c r="B20">
        <f ca="1">IF(C12&gt;=Paramètres!B4,MIN(C12/Paramètres!B3,1),0)</f>
        <v>1</v>
      </c>
      <c r="C20">
        <f ca="1">MIN(D12/Paramètres!B5,1)</f>
        <v>1</v>
      </c>
      <c r="D20" s="29">
        <f ca="1">MIN(((E12*1)+(F12*Paramètres!B7))/Paramètres!B6,1)</f>
        <v>1</v>
      </c>
      <c r="E20" s="30">
        <f t="shared" ca="1" si="0"/>
        <v>20000</v>
      </c>
      <c r="F20" s="30">
        <f t="shared" ca="1" si="1"/>
        <v>15000.000000000002</v>
      </c>
      <c r="G20" s="20">
        <f ca="1">IF(AND(E12+F12&gt;=1,G12&gt;=1,H12&gt;=1),B12*Paramètres!$B$8,0)</f>
        <v>875</v>
      </c>
      <c r="H20" s="16">
        <f ca="1">I12*B12*Paramètres!$B$9</f>
        <v>0</v>
      </c>
      <c r="I20" s="16">
        <f ca="1">J12*B12*Paramètres!$B$10</f>
        <v>0</v>
      </c>
      <c r="J20" s="16">
        <f t="shared" ca="1" si="2"/>
        <v>35875</v>
      </c>
    </row>
    <row r="21" spans="1:10" s="20" customFormat="1">
      <c r="A21" s="11" t="str">
        <f ca="1">INDIRECT(CONCATENATE(IF(B12="Janvier","01_Janvier",IF(B12="Février","02_Février",IF(B12="Mars","03_Mars",IF(B12="Avril","04_Avril",IF(B12="Mai","05_Mai",IF(B12="Juin","06_Juin",IF(B12="Juillet","07_Juillet",IF(B12="Août","08_Août",IF(B12="Septembre","09_Septembre",IF(B12="Octobre","10_Octobre",IF(B12="Novembre","11_Novembre","12_Décembre"))))))))))),"!A7"))</f>
        <v>Michel Bernard</v>
      </c>
      <c r="B21" s="20">
        <f ca="1">IF(C13&gt;=Paramètres!B5,MIN(C13/Paramètres!B4,1),0)</f>
        <v>1</v>
      </c>
      <c r="C21" s="16">
        <f ca="1">MIN(D13/Paramètres!B5,1)</f>
        <v>1</v>
      </c>
      <c r="D21" s="29">
        <f ca="1">MIN(((E13*1)+(F13*Paramètres!B7))/Paramètres!B6,1)</f>
        <v>1</v>
      </c>
      <c r="E21" s="30">
        <f t="shared" ca="1" si="0"/>
        <v>10000</v>
      </c>
      <c r="F21" s="30">
        <f t="shared" ca="1" si="1"/>
        <v>5000</v>
      </c>
      <c r="G21" s="20">
        <f ca="1">IF(AND(E13+F13&gt;=1,G13&gt;=1,H13&gt;=1),B13*Paramètres!$B$8,0)</f>
        <v>725</v>
      </c>
      <c r="H21" s="16">
        <f ca="1">I13*B13*Paramètres!$B$9</f>
        <v>290</v>
      </c>
      <c r="I21" s="16">
        <f ca="1">J13*B13*Paramètres!$B$10</f>
        <v>58</v>
      </c>
      <c r="J21" s="16">
        <f t="shared" ref="J21" ca="1" si="3">E21+F21+G21-H21-I21</f>
        <v>15377</v>
      </c>
    </row>
    <row r="22" spans="1:10">
      <c r="A22" s="22"/>
      <c r="B22" s="22"/>
      <c r="C22" s="22"/>
      <c r="D22" s="22"/>
      <c r="E22" s="22"/>
      <c r="F22" s="22"/>
      <c r="G22" s="22"/>
    </row>
    <row r="23" spans="1:10" ht="15.6">
      <c r="A23" s="17" t="s">
        <v>65</v>
      </c>
      <c r="B23" s="18"/>
      <c r="C23" s="18"/>
      <c r="D23" s="18"/>
      <c r="E23" s="18"/>
      <c r="F23" s="18"/>
      <c r="G23" s="18"/>
    </row>
    <row r="24" spans="1:10">
      <c r="A24" s="19" t="s">
        <v>42</v>
      </c>
      <c r="B24" s="19" t="s">
        <v>66</v>
      </c>
      <c r="C24" s="19" t="s">
        <v>67</v>
      </c>
      <c r="D24" s="19" t="s">
        <v>68</v>
      </c>
      <c r="E24" s="19" t="s">
        <v>69</v>
      </c>
      <c r="F24" s="19" t="s">
        <v>70</v>
      </c>
      <c r="G24" s="19" t="s">
        <v>71</v>
      </c>
    </row>
    <row r="25" spans="1:10">
      <c r="A25" s="13" t="str">
        <f ca="1">A9</f>
        <v>Ekobo Berthe</v>
      </c>
      <c r="B25" s="25">
        <f ca="1">B9</f>
        <v>50000</v>
      </c>
      <c r="C25" s="25">
        <f ca="1">B17*B9*0.2</f>
        <v>0</v>
      </c>
      <c r="D25" s="25">
        <f ca="1">C17*B9*0.2</f>
        <v>6250</v>
      </c>
      <c r="E25" s="25">
        <f ca="1">D17*B9*0.4</f>
        <v>7000</v>
      </c>
      <c r="F25" s="26">
        <f ca="1">J17</f>
        <v>0</v>
      </c>
      <c r="G25" s="31">
        <f ca="1">C25+D25+E25+F25</f>
        <v>13250</v>
      </c>
    </row>
    <row r="26" spans="1:10">
      <c r="A26" s="11" t="str">
        <f ca="1">A10</f>
        <v>Marie Martin</v>
      </c>
      <c r="B26" s="25">
        <f t="shared" ref="B26:B29" ca="1" si="4">B10</f>
        <v>3200</v>
      </c>
      <c r="C26" s="25">
        <f t="shared" ref="C26:C29" ca="1" si="5">B18*B10*0.2</f>
        <v>640</v>
      </c>
      <c r="D26" s="25">
        <f t="shared" ref="D26:D29" ca="1" si="6">C18*B10*0.2</f>
        <v>640</v>
      </c>
      <c r="E26" s="25">
        <f t="shared" ref="E26:E29" ca="1" si="7">D18*B10*0.4</f>
        <v>1280</v>
      </c>
      <c r="F26" s="26">
        <f t="shared" ref="F26:F29" ca="1" si="8">J18</f>
        <v>25736</v>
      </c>
      <c r="G26" s="31">
        <f t="shared" ref="G26:G29" ca="1" si="9">C26+D26+E26+F26</f>
        <v>28296</v>
      </c>
    </row>
    <row r="27" spans="1:10">
      <c r="A27" s="13" t="str">
        <f ca="1">A11</f>
        <v>Pierre Durand</v>
      </c>
      <c r="B27" s="25">
        <f t="shared" ca="1" si="4"/>
        <v>2800</v>
      </c>
      <c r="C27" s="25">
        <f t="shared" ca="1" si="5"/>
        <v>448</v>
      </c>
      <c r="D27" s="25">
        <f t="shared" ca="1" si="6"/>
        <v>420</v>
      </c>
      <c r="E27" s="25">
        <f t="shared" ca="1" si="7"/>
        <v>896</v>
      </c>
      <c r="F27" s="26">
        <f t="shared" ca="1" si="8"/>
        <v>10084</v>
      </c>
      <c r="G27" s="31">
        <f t="shared" ca="1" si="9"/>
        <v>11848</v>
      </c>
    </row>
    <row r="28" spans="1:10">
      <c r="A28" s="11" t="str">
        <f ca="1">A12</f>
        <v>Sophie Leroy</v>
      </c>
      <c r="B28" s="25">
        <f t="shared" ca="1" si="4"/>
        <v>3500</v>
      </c>
      <c r="C28" s="25">
        <f t="shared" ca="1" si="5"/>
        <v>700</v>
      </c>
      <c r="D28" s="25">
        <f t="shared" ca="1" si="6"/>
        <v>700</v>
      </c>
      <c r="E28" s="25">
        <f t="shared" ca="1" si="7"/>
        <v>1400</v>
      </c>
      <c r="F28" s="26">
        <f t="shared" ca="1" si="8"/>
        <v>35875</v>
      </c>
      <c r="G28" s="31">
        <f t="shared" ca="1" si="9"/>
        <v>38675</v>
      </c>
    </row>
    <row r="29" spans="1:10" s="20" customFormat="1">
      <c r="A29" s="11" t="str">
        <f ca="1">A13</f>
        <v>Michel Bernard</v>
      </c>
      <c r="B29" s="25">
        <f t="shared" ca="1" si="4"/>
        <v>2900</v>
      </c>
      <c r="C29" s="25">
        <f t="shared" ca="1" si="5"/>
        <v>580</v>
      </c>
      <c r="D29" s="25">
        <f t="shared" ca="1" si="6"/>
        <v>580</v>
      </c>
      <c r="E29" s="25">
        <f t="shared" ca="1" si="7"/>
        <v>1160</v>
      </c>
      <c r="F29" s="26">
        <f t="shared" ca="1" si="8"/>
        <v>15377</v>
      </c>
      <c r="G29" s="31">
        <f t="shared" ca="1" si="9"/>
        <v>17697</v>
      </c>
    </row>
    <row r="30" spans="1:10">
      <c r="A30" s="27" t="s">
        <v>72</v>
      </c>
      <c r="B30" s="27"/>
      <c r="C30" s="27"/>
      <c r="D30" s="27"/>
      <c r="E30" s="27"/>
      <c r="F30" s="27"/>
      <c r="G30" s="27"/>
    </row>
  </sheetData>
  <mergeCells count="5">
    <mergeCell ref="A14:P14"/>
    <mergeCell ref="A22:G22"/>
    <mergeCell ref="A1:L1"/>
    <mergeCell ref="A30:G30"/>
    <mergeCell ref="A3:C3"/>
  </mergeCells>
  <conditionalFormatting sqref="G25">
    <cfRule type="colorScale" priority="3">
      <colorScale>
        <cfvo type="percentile" val="10"/>
        <cfvo type="percentile" val="50"/>
        <cfvo type="percentile" val="90"/>
        <color rgb="FFFFCCCC"/>
        <color rgb="FFFFFFCC"/>
        <color rgb="FFCCFFCC"/>
      </colorScale>
    </cfRule>
  </conditionalFormatting>
  <conditionalFormatting sqref="G26:G29">
    <cfRule type="colorScale" priority="1">
      <colorScale>
        <cfvo type="percentile" val="10"/>
        <cfvo type="percentile" val="50"/>
        <cfvo type="percentile" val="90"/>
        <color rgb="FFFFCCCC"/>
        <color rgb="FFFFFFCC"/>
        <color rgb="FFCCFFCC"/>
      </colorScale>
    </cfRule>
  </conditionalFormatting>
  <dataValidations count="1">
    <dataValidation type="list" promptTitle="Sélection du mois" prompt="Sélectionnez un mois" sqref="B4" xr:uid="{00000000-0002-0000-0E00-000000000000}">
      <formula1>"Janvier,Février,Mars,Avril,Mai,Juin,Juillet,Août,Septembre,Octobre,Novembre,Décembre"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Tableau de bord</vt:lpstr>
      <vt:lpstr>01_Janvier</vt:lpstr>
      <vt:lpstr>02_Février</vt:lpstr>
      <vt:lpstr>03_Mars</vt:lpstr>
      <vt:lpstr>04_Avril</vt:lpstr>
      <vt:lpstr>05_Mai</vt:lpstr>
      <vt:lpstr>06_Juin</vt:lpstr>
      <vt:lpstr>07_Juillet</vt:lpstr>
      <vt:lpstr>08_Août</vt:lpstr>
      <vt:lpstr>09_Septembre</vt:lpstr>
      <vt:lpstr>10_Octobre</vt:lpstr>
      <vt:lpstr>11_Novembre</vt:lpstr>
      <vt:lpstr>12_Décembre</vt:lpstr>
      <vt:lpstr>Paramètres</vt:lpstr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T580</cp:lastModifiedBy>
  <dcterms:created xsi:type="dcterms:W3CDTF">2025-10-06T20:24:58Z</dcterms:created>
  <dcterms:modified xsi:type="dcterms:W3CDTF">2025-10-07T10:46:12Z</dcterms:modified>
</cp:coreProperties>
</file>